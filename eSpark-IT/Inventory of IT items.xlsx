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nventory\IT\"/>
    </mc:Choice>
  </mc:AlternateContent>
  <bookViews>
    <workbookView xWindow="0" yWindow="0" windowWidth="28800" windowHeight="12300" tabRatio="865"/>
  </bookViews>
  <sheets>
    <sheet name="Item Name" sheetId="11" r:id="rId1"/>
    <sheet name="Keyboard" sheetId="6" r:id="rId2"/>
    <sheet name="Mouse" sheetId="10" r:id="rId3"/>
    <sheet name="LCD" sheetId="12" r:id="rId4"/>
    <sheet name="CPU" sheetId="13" r:id="rId5"/>
    <sheet name="Hard drive" sheetId="14" r:id="rId6"/>
    <sheet name="Power Cable" sheetId="15" r:id="rId7"/>
    <sheet name="USB" sheetId="16" r:id="rId8"/>
    <sheet name="Camera" sheetId="17" r:id="rId9"/>
    <sheet name="Router" sheetId="18" r:id="rId10"/>
    <sheet name="Network Item" sheetId="19" r:id="rId11"/>
    <sheet name="Printer" sheetId="20" r:id="rId12"/>
    <sheet name="Tablet" sheetId="21" r:id="rId13"/>
    <sheet name="Mac Book" sheetId="22" r:id="rId14"/>
    <sheet name="Inv. Issue" sheetId="1" r:id="rId15"/>
    <sheet name="Temp. Issue" sheetId="8" r:id="rId16"/>
    <sheet name="Salvage" sheetId="9" r:id="rId17"/>
  </sheets>
  <definedNames>
    <definedName name="_xlnm._FilterDatabase" localSheetId="14" hidden="1">'Inv. Issue'!$C$3:$H$103</definedName>
    <definedName name="camera" localSheetId="13">'Mac Book'!$D$6:$D$105</definedName>
    <definedName name="camera" localSheetId="10">'Network Item'!$D$6:$D$105</definedName>
    <definedName name="camera" localSheetId="11">Printer!$D$6:$D$105</definedName>
    <definedName name="camera" localSheetId="9">Router!$D$6:$D$105</definedName>
    <definedName name="camera" localSheetId="12">Tablet!$D$6:$D$105</definedName>
    <definedName name="camera">Camera!$D$6:$D$105</definedName>
    <definedName name="CPU" localSheetId="8">Camera!$D$6:$D$105</definedName>
    <definedName name="CPU" localSheetId="5">'Hard drive'!$D$6:$D$105</definedName>
    <definedName name="CPU" localSheetId="13">'Mac Book'!$D$6:$D$105</definedName>
    <definedName name="CPU" localSheetId="10">'Network Item'!$D$6:$D$105</definedName>
    <definedName name="CPU" localSheetId="6">'Power Cable'!$D$6:$D$105</definedName>
    <definedName name="CPU" localSheetId="11">Printer!$D$6:$D$105</definedName>
    <definedName name="CPU" localSheetId="9">Router!$D$6:$D$105</definedName>
    <definedName name="CPU" localSheetId="12">Tablet!$D$6:$D$105</definedName>
    <definedName name="CPU" localSheetId="7">USB!$D$6:$D$105</definedName>
    <definedName name="CPU">CPU!$D$6:$D$105</definedName>
    <definedName name="harddrive" localSheetId="8">Camera!$D$6:$D$105</definedName>
    <definedName name="harddrive" localSheetId="13">'Mac Book'!$D$6:$D$105</definedName>
    <definedName name="harddrive" localSheetId="10">'Network Item'!$D$6:$D$105</definedName>
    <definedName name="harddrive" localSheetId="6">'Power Cable'!$D$6:$D$105</definedName>
    <definedName name="harddrive" localSheetId="11">Printer!$D$6:$D$105</definedName>
    <definedName name="harddrive" localSheetId="9">Router!$D$6:$D$105</definedName>
    <definedName name="harddrive" localSheetId="12">Tablet!$D$6:$D$105</definedName>
    <definedName name="harddrive" localSheetId="7">USB!$D$6:$D$105</definedName>
    <definedName name="harddrive">'Hard drive'!$D$6:$D$105</definedName>
    <definedName name="key">Keyboard!$D$6:$D$105</definedName>
    <definedName name="LCD" localSheetId="8">Camera!$D$6:$D$105</definedName>
    <definedName name="LCD" localSheetId="4">CPU!$D$6:$D$105</definedName>
    <definedName name="LCD" localSheetId="5">'Hard drive'!$D$6:$D$105</definedName>
    <definedName name="LCD" localSheetId="13">'Mac Book'!$D$6:$D$105</definedName>
    <definedName name="LCD" localSheetId="10">'Network Item'!$D$6:$D$105</definedName>
    <definedName name="LCD" localSheetId="6">'Power Cable'!$D$6:$D$105</definedName>
    <definedName name="LCD" localSheetId="11">Printer!$D$6:$D$105</definedName>
    <definedName name="LCD" localSheetId="9">Router!$D$6:$D$105</definedName>
    <definedName name="LCD" localSheetId="12">Tablet!$D$6:$D$105</definedName>
    <definedName name="LCD" localSheetId="7">USB!$D$6:$D$105</definedName>
    <definedName name="LCD">LCD!$D$6:$D$105</definedName>
    <definedName name="list">'Item Name'!$B$4:$B$23</definedName>
    <definedName name="mac">'Mac Book'!$D$6:$D$105</definedName>
    <definedName name="mou" localSheetId="8">Camera!$D$6:$D$105</definedName>
    <definedName name="mou" localSheetId="4">CPU!$D$6:$D$105</definedName>
    <definedName name="mou" localSheetId="5">'Hard drive'!$D$6:$D$105</definedName>
    <definedName name="mou" localSheetId="3">LCD!$D$6:$D$105</definedName>
    <definedName name="mou" localSheetId="13">'Mac Book'!$D$6:$D$105</definedName>
    <definedName name="mou" localSheetId="10">'Network Item'!$D$6:$D$105</definedName>
    <definedName name="mou" localSheetId="6">'Power Cable'!$D$6:$D$105</definedName>
    <definedName name="mou" localSheetId="11">Printer!$D$6:$D$105</definedName>
    <definedName name="mou" localSheetId="9">Router!$D$6:$D$105</definedName>
    <definedName name="mou" localSheetId="12">Tablet!$D$6:$D$105</definedName>
    <definedName name="mou" localSheetId="7">USB!$D$6:$D$105</definedName>
    <definedName name="mou">Mouse!$D$6:$D$105</definedName>
    <definedName name="NS" localSheetId="13">'Mac Book'!$D$6:$D$105</definedName>
    <definedName name="NS" localSheetId="11">Printer!$D$6:$D$105</definedName>
    <definedName name="NS" localSheetId="12">Tablet!$D$6:$D$105</definedName>
    <definedName name="NS">'Network Item'!$D$6:$D$105</definedName>
    <definedName name="powercable" localSheetId="8">Camera!$D$6:$D$105</definedName>
    <definedName name="powercable" localSheetId="13">'Mac Book'!$D$6:$D$105</definedName>
    <definedName name="powercable" localSheetId="10">'Network Item'!$D$6:$D$105</definedName>
    <definedName name="powercable" localSheetId="11">Printer!$D$6:$D$105</definedName>
    <definedName name="powercable" localSheetId="9">Router!$D$6:$D$105</definedName>
    <definedName name="powercable" localSheetId="12">Tablet!$D$6:$D$105</definedName>
    <definedName name="powercable" localSheetId="7">USB!$D$6:$D$105</definedName>
    <definedName name="powercable">'Power Cable'!$D$6:$D$105</definedName>
    <definedName name="printer" localSheetId="13">'Mac Book'!$D$6:$D$105</definedName>
    <definedName name="printer" localSheetId="12">Tablet!$D$6:$D$105</definedName>
    <definedName name="printer">Printer!$D$6:$D$105</definedName>
    <definedName name="router">Router!$D$6:$D$105</definedName>
    <definedName name="tablet">Tablet!$D$6:$D$105</definedName>
    <definedName name="usb" localSheetId="8">Camera!$D$6:$D$105</definedName>
    <definedName name="usb" localSheetId="13">'Mac Book'!$D$6:$D$105</definedName>
    <definedName name="usb" localSheetId="10">'Network Item'!$D$6:$D$105</definedName>
    <definedName name="usb" localSheetId="11">Printer!$D$6:$D$105</definedName>
    <definedName name="usb" localSheetId="9">Router!$D$6:$D$105</definedName>
    <definedName name="usb" localSheetId="12">Tablet!$D$6:$D$105</definedName>
    <definedName name="usb">USB!$D$6:$D$105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0" l="1"/>
  <c r="F2" i="10"/>
  <c r="G2" i="6"/>
  <c r="F2" i="6"/>
  <c r="G2" i="21" l="1"/>
  <c r="F2" i="21"/>
  <c r="E2" i="21"/>
  <c r="D2" i="21"/>
  <c r="G2" i="22"/>
  <c r="F2" i="22"/>
  <c r="E2" i="22"/>
  <c r="D2" i="22"/>
  <c r="C2" i="22"/>
  <c r="C2" i="21"/>
  <c r="G2" i="20"/>
  <c r="F2" i="20"/>
  <c r="E2" i="20"/>
  <c r="D2" i="20"/>
  <c r="C2" i="20"/>
  <c r="G2" i="19"/>
  <c r="F2" i="19"/>
  <c r="E2" i="19"/>
  <c r="D2" i="19"/>
  <c r="C2" i="19"/>
  <c r="G2" i="18"/>
  <c r="F2" i="18"/>
  <c r="E2" i="18"/>
  <c r="D2" i="18"/>
  <c r="C2" i="18"/>
  <c r="G2" i="17"/>
  <c r="F2" i="17"/>
  <c r="E2" i="17"/>
  <c r="D2" i="17"/>
  <c r="C2" i="17"/>
  <c r="D2" i="16"/>
  <c r="G2" i="16"/>
  <c r="F2" i="16"/>
  <c r="E2" i="16"/>
  <c r="C2" i="16"/>
  <c r="G2" i="15"/>
  <c r="F2" i="15"/>
  <c r="E2" i="15"/>
  <c r="D2" i="15"/>
  <c r="C2" i="15"/>
  <c r="G2" i="14"/>
  <c r="F2" i="14"/>
  <c r="E2" i="14"/>
  <c r="D2" i="14"/>
  <c r="G2" i="13"/>
  <c r="F2" i="13"/>
  <c r="E2" i="13"/>
  <c r="D2" i="13"/>
  <c r="C2" i="14"/>
  <c r="C2" i="13"/>
  <c r="G2" i="12"/>
  <c r="F2" i="12"/>
  <c r="E2" i="12"/>
  <c r="D2" i="12"/>
  <c r="C2" i="12"/>
  <c r="E2" i="10" l="1"/>
  <c r="D2" i="10"/>
  <c r="E2" i="6"/>
  <c r="C2" i="10"/>
  <c r="O5" i="8" l="1"/>
  <c r="C2" i="6" l="1"/>
  <c r="D2" i="6"/>
</calcChain>
</file>

<file path=xl/sharedStrings.xml><?xml version="1.0" encoding="utf-8"?>
<sst xmlns="http://schemas.openxmlformats.org/spreadsheetml/2006/main" count="542" uniqueCount="280">
  <si>
    <t>Sr.No</t>
  </si>
  <si>
    <t>Company Name</t>
  </si>
  <si>
    <t>Keyboard</t>
  </si>
  <si>
    <t>Remarks</t>
  </si>
  <si>
    <t>Sr. No.</t>
  </si>
  <si>
    <t>Item Name</t>
  </si>
  <si>
    <t>Item Code</t>
  </si>
  <si>
    <t>es-01-01</t>
  </si>
  <si>
    <t>Keyboard Code (es-01)</t>
  </si>
  <si>
    <t>es-01-02</t>
  </si>
  <si>
    <t>es-01-03</t>
  </si>
  <si>
    <t>es-01-04</t>
  </si>
  <si>
    <t>Purchase Date</t>
  </si>
  <si>
    <t>Item Sr.No.</t>
  </si>
  <si>
    <t>Inventory Issue</t>
  </si>
  <si>
    <t>User Name</t>
  </si>
  <si>
    <t>User Code</t>
  </si>
  <si>
    <t>Issue Date</t>
  </si>
  <si>
    <t>Temp. Issue</t>
  </si>
  <si>
    <t>Salvage</t>
  </si>
  <si>
    <t>Issue By</t>
  </si>
  <si>
    <t>Salvage By</t>
  </si>
  <si>
    <t>Salvage Date</t>
  </si>
  <si>
    <t>Salvage Reason</t>
  </si>
  <si>
    <t>Ali</t>
  </si>
  <si>
    <t>es-02-02</t>
  </si>
  <si>
    <t>es-02-01</t>
  </si>
  <si>
    <t>Mouse Code (es-02)</t>
  </si>
  <si>
    <t>es-02-03</t>
  </si>
  <si>
    <t>es-02-04</t>
  </si>
  <si>
    <t>Code</t>
  </si>
  <si>
    <t>sr. No</t>
  </si>
  <si>
    <t>Status</t>
  </si>
  <si>
    <t>Retrun Date</t>
  </si>
  <si>
    <t>Mouse</t>
  </si>
  <si>
    <t>es-01</t>
  </si>
  <si>
    <t>es-02</t>
  </si>
  <si>
    <t>es-03</t>
  </si>
  <si>
    <t>es-04</t>
  </si>
  <si>
    <t>es-05</t>
  </si>
  <si>
    <t>es-06</t>
  </si>
  <si>
    <t>es-07</t>
  </si>
  <si>
    <t>es-08</t>
  </si>
  <si>
    <t>Hard Drive</t>
  </si>
  <si>
    <t>LCD</t>
  </si>
  <si>
    <t>CPU</t>
  </si>
  <si>
    <t>Power Cable</t>
  </si>
  <si>
    <t>USB</t>
  </si>
  <si>
    <t>es-10</t>
  </si>
  <si>
    <t>Sr No.</t>
  </si>
  <si>
    <t>es-03-01</t>
  </si>
  <si>
    <t>LCD Code (es-03)</t>
  </si>
  <si>
    <t>es-03-02</t>
  </si>
  <si>
    <t>es-03-03</t>
  </si>
  <si>
    <t>es-03-04</t>
  </si>
  <si>
    <t>es-04-01</t>
  </si>
  <si>
    <t>es-04-02</t>
  </si>
  <si>
    <t>es-04-03</t>
  </si>
  <si>
    <t>es-04-04</t>
  </si>
  <si>
    <t>CPU Code (es-04)</t>
  </si>
  <si>
    <t>Hard Drive Code (es-05)</t>
  </si>
  <si>
    <t>Power Cable Code (es-06)</t>
  </si>
  <si>
    <t>es-06-01</t>
  </si>
  <si>
    <t>es-06-02</t>
  </si>
  <si>
    <t>es-06-03</t>
  </si>
  <si>
    <t>es-06-04</t>
  </si>
  <si>
    <t>USB Code (es-07)</t>
  </si>
  <si>
    <t>es-07-01</t>
  </si>
  <si>
    <t>es-07-02</t>
  </si>
  <si>
    <t>Camera</t>
  </si>
  <si>
    <t>Camera Code (es-08)</t>
  </si>
  <si>
    <t>es-08-01</t>
  </si>
  <si>
    <t>es-08-02</t>
  </si>
  <si>
    <t>es-09</t>
  </si>
  <si>
    <t>Router</t>
  </si>
  <si>
    <t>es-11</t>
  </si>
  <si>
    <t>es-12</t>
  </si>
  <si>
    <t>es-13</t>
  </si>
  <si>
    <t>Router Code (es-09)</t>
  </si>
  <si>
    <t>es-10-01</t>
  </si>
  <si>
    <t>es-10-02</t>
  </si>
  <si>
    <t>es-10-03</t>
  </si>
  <si>
    <t>es-10-04</t>
  </si>
  <si>
    <t>Network Swtich Code (es-10)</t>
  </si>
  <si>
    <t xml:space="preserve"> Code</t>
  </si>
  <si>
    <t>Printer</t>
  </si>
  <si>
    <t>Printer Code (es-11)</t>
  </si>
  <si>
    <t>es-11-01</t>
  </si>
  <si>
    <t>es-11-02</t>
  </si>
  <si>
    <t>Mac Book</t>
  </si>
  <si>
    <t>Tablet</t>
  </si>
  <si>
    <t>es-12-01</t>
  </si>
  <si>
    <t>Tablet Code (es-12)</t>
  </si>
  <si>
    <t>Mac Book Code (es-13)</t>
  </si>
  <si>
    <t>es-13-01</t>
  </si>
  <si>
    <t>es-01-05</t>
  </si>
  <si>
    <t>es-01-06</t>
  </si>
  <si>
    <t>es-01-07</t>
  </si>
  <si>
    <t>es-01-08</t>
  </si>
  <si>
    <t>es-01-09</t>
  </si>
  <si>
    <t>es-01-10</t>
  </si>
  <si>
    <t>es-01-11</t>
  </si>
  <si>
    <t>es-01-12</t>
  </si>
  <si>
    <t>es-01-13</t>
  </si>
  <si>
    <t>es-01-14</t>
  </si>
  <si>
    <t>es-01-15</t>
  </si>
  <si>
    <t>es-01-16</t>
  </si>
  <si>
    <t>es-01-17</t>
  </si>
  <si>
    <t>es-01-18</t>
  </si>
  <si>
    <t>es-01-19</t>
  </si>
  <si>
    <t>es-01-20</t>
  </si>
  <si>
    <t>HP</t>
  </si>
  <si>
    <t>Genius</t>
  </si>
  <si>
    <t>Logitech</t>
  </si>
  <si>
    <t>1902SY06SDM8</t>
  </si>
  <si>
    <t>Hassan Ahmed</t>
  </si>
  <si>
    <t>Saeed Sikandar</t>
  </si>
  <si>
    <t>Syed Muhammad Sohaib Hussain</t>
  </si>
  <si>
    <t>Syed Ali Naqvi Hasni</t>
  </si>
  <si>
    <t>Kalbb-e-Abbas</t>
  </si>
  <si>
    <t>Muhammad Usman</t>
  </si>
  <si>
    <t>Iftikhar Ahmed</t>
  </si>
  <si>
    <t>Wirad Ali</t>
  </si>
  <si>
    <t>Faraz Uddin</t>
  </si>
  <si>
    <t>Ammar Qureshi</t>
  </si>
  <si>
    <t>WE150QB00387</t>
  </si>
  <si>
    <t>WE150QJ01292</t>
  </si>
  <si>
    <t>WE150QB00382</t>
  </si>
  <si>
    <t>WE150QJ01294</t>
  </si>
  <si>
    <t>WE150QJ01291</t>
  </si>
  <si>
    <t>WE150QB00381</t>
  </si>
  <si>
    <t>WE150QB00383</t>
  </si>
  <si>
    <t>WE150QJ01299</t>
  </si>
  <si>
    <t>WE150QJ01708</t>
  </si>
  <si>
    <t>Ali Naqvi</t>
  </si>
  <si>
    <t>Power Input not Working</t>
  </si>
  <si>
    <t>Sr.No.</t>
  </si>
  <si>
    <t>WE150QB00390</t>
  </si>
  <si>
    <t>WE150QB00388</t>
  </si>
  <si>
    <t>2041CE1D5639</t>
  </si>
  <si>
    <t>Dell</t>
  </si>
  <si>
    <t>CN-0TH836-44751-86B-05A1</t>
  </si>
  <si>
    <t>CN-05P02F-71581</t>
  </si>
  <si>
    <t>WE150QJ01293</t>
  </si>
  <si>
    <t>WE150QB00384</t>
  </si>
  <si>
    <t>A4 Tech</t>
  </si>
  <si>
    <t>PS1908015216</t>
  </si>
  <si>
    <t>CN-05P02F-71581-A01</t>
  </si>
  <si>
    <t>1713mg00FUQB</t>
  </si>
  <si>
    <t>With Mouse</t>
  </si>
  <si>
    <t>es-02-05</t>
  </si>
  <si>
    <t>es-02-06</t>
  </si>
  <si>
    <t>es-02-07</t>
  </si>
  <si>
    <t>es-02-08</t>
  </si>
  <si>
    <t>es-02-09</t>
  </si>
  <si>
    <t>es-02-10</t>
  </si>
  <si>
    <t>es-02-11</t>
  </si>
  <si>
    <t>es-02-12</t>
  </si>
  <si>
    <t>es-02-13</t>
  </si>
  <si>
    <t>es-02-14</t>
  </si>
  <si>
    <t>es-02-15</t>
  </si>
  <si>
    <t>es-02-16</t>
  </si>
  <si>
    <t>es-02-17</t>
  </si>
  <si>
    <t>es-02-18</t>
  </si>
  <si>
    <t>es-02-19</t>
  </si>
  <si>
    <t>es-02-20</t>
  </si>
  <si>
    <t>es-02-21</t>
  </si>
  <si>
    <t>es-02-22</t>
  </si>
  <si>
    <t>es-02-23</t>
  </si>
  <si>
    <t>es-02-24</t>
  </si>
  <si>
    <t>es-02-25</t>
  </si>
  <si>
    <t>es-02-26</t>
  </si>
  <si>
    <t>B1M2802005000347</t>
  </si>
  <si>
    <t>B1M280201004710</t>
  </si>
  <si>
    <t>B1M2802005000309</t>
  </si>
  <si>
    <t>B1M2802005001193</t>
  </si>
  <si>
    <t>B1M2802005000364</t>
  </si>
  <si>
    <t>B1M280201004716</t>
  </si>
  <si>
    <t>B1M28020050003691</t>
  </si>
  <si>
    <t>Model No. FG10</t>
  </si>
  <si>
    <t>HI-ZI</t>
  </si>
  <si>
    <t>es-02-27</t>
  </si>
  <si>
    <t>B1M280201004697</t>
  </si>
  <si>
    <t xml:space="preserve">N/A </t>
  </si>
  <si>
    <t>es-04-05</t>
  </si>
  <si>
    <t>es-04-06</t>
  </si>
  <si>
    <t>es-04-07</t>
  </si>
  <si>
    <t>es-04-08</t>
  </si>
  <si>
    <t>es-04-09</t>
  </si>
  <si>
    <t>es-04-10</t>
  </si>
  <si>
    <t>HP Corei5, RAM 8GB, HDD 300GB</t>
  </si>
  <si>
    <t>2UA3140X1W</t>
  </si>
  <si>
    <t>HP Corei5, RAM 6GB, HDD 1TB</t>
  </si>
  <si>
    <t>MXL2410C7D</t>
  </si>
  <si>
    <t>HP Corei5, RAM 8GB, HDD 500GB</t>
  </si>
  <si>
    <t>Lenovo Corei5, RAM 8GB, HDD 500GB</t>
  </si>
  <si>
    <t>MMM-100606</t>
  </si>
  <si>
    <t>HP Corei5, RAM 14GB, HDD 1TB, Graphics Card 2GB</t>
  </si>
  <si>
    <t>MXL3021LOK</t>
  </si>
  <si>
    <t>MMM-100576</t>
  </si>
  <si>
    <t>MXL4190Q06</t>
  </si>
  <si>
    <t>Lenovo Corei5, RAM 8GB, HDD 500GB, Graphics Card 2GB</t>
  </si>
  <si>
    <t>SIC-101116</t>
  </si>
  <si>
    <t>HP Corei5, RAM 12GB, HDD 500GB, Graphics Card 2GB</t>
  </si>
  <si>
    <t>MXL251048V</t>
  </si>
  <si>
    <t>SIC-100987</t>
  </si>
  <si>
    <t>HP Corei5, RAM 8GB, HDD 500GB, Graphics Card 2GB</t>
  </si>
  <si>
    <t>MXL3320QC8</t>
  </si>
  <si>
    <t>es-03-05</t>
  </si>
  <si>
    <t>es-03-06</t>
  </si>
  <si>
    <t>es-03-07</t>
  </si>
  <si>
    <t>es-03-08</t>
  </si>
  <si>
    <t>es-03-09</t>
  </si>
  <si>
    <t>es-03-10</t>
  </si>
  <si>
    <t>CL-0NDMRP-74261-34C-0RRM</t>
  </si>
  <si>
    <t>CN-ONDMRP-29S-27WM</t>
  </si>
  <si>
    <t>CN-0174R7-72872-2CO-A21M</t>
  </si>
  <si>
    <t>CN-0NDMRP-74261-KG-380M</t>
  </si>
  <si>
    <t>3CQ146NSBM</t>
  </si>
  <si>
    <t>3CQ5291VK4</t>
  </si>
  <si>
    <t>CN-0NDMRP-74261-293-2H3U</t>
  </si>
  <si>
    <t>Woring in Process</t>
  </si>
  <si>
    <t>3CM1070RVG</t>
  </si>
  <si>
    <t>3CM1070TO8</t>
  </si>
  <si>
    <t>B1M280201004703</t>
  </si>
  <si>
    <t>B1M280201004702</t>
  </si>
  <si>
    <t>B1M280201004704</t>
  </si>
  <si>
    <t>B1M280201004715</t>
  </si>
  <si>
    <t>B1M280201004717</t>
  </si>
  <si>
    <t>B1M280201004701</t>
  </si>
  <si>
    <t>B1M280201004698</t>
  </si>
  <si>
    <t>B1M280201004700</t>
  </si>
  <si>
    <t>B1M280201004714</t>
  </si>
  <si>
    <t>B1M280201004705</t>
  </si>
  <si>
    <t>B1M280201004699</t>
  </si>
  <si>
    <t>B1M280201004720</t>
  </si>
  <si>
    <t>B1M280201004713</t>
  </si>
  <si>
    <t>B1M280201004706</t>
  </si>
  <si>
    <t>B1M280201004719</t>
  </si>
  <si>
    <t>B1M280201004718</t>
  </si>
  <si>
    <t>HP Laser Jet Pro MFP M127</t>
  </si>
  <si>
    <t>CNB981WC9B</t>
  </si>
  <si>
    <t>HP Laser Jet Pro M12 w</t>
  </si>
  <si>
    <t>VNCW906734</t>
  </si>
  <si>
    <t>China</t>
  </si>
  <si>
    <t>TP Link (Router) 450 MBPS</t>
  </si>
  <si>
    <t>TP Link (Router) 300 MBPS</t>
  </si>
  <si>
    <t>220C2Q3016537</t>
  </si>
  <si>
    <t>Network Item</t>
  </si>
  <si>
    <t>D-Link Router 300 MBPS</t>
  </si>
  <si>
    <t>TR0W10A000891</t>
  </si>
  <si>
    <t xml:space="preserve">Huawei Router (Fider) </t>
  </si>
  <si>
    <t>485754431DB3BAA4</t>
  </si>
  <si>
    <t>es-10-05</t>
  </si>
  <si>
    <t>es-10-06</t>
  </si>
  <si>
    <t>TP Link (Switch) 2 SFP Slots</t>
  </si>
  <si>
    <t>217B560000221</t>
  </si>
  <si>
    <t>Ruby</t>
  </si>
  <si>
    <t>Devsol</t>
  </si>
  <si>
    <t>Not is Use</t>
  </si>
  <si>
    <t xml:space="preserve">TP Link Router </t>
  </si>
  <si>
    <t>N/A</t>
  </si>
  <si>
    <t>Use is Espark</t>
  </si>
  <si>
    <t>es-06-05</t>
  </si>
  <si>
    <t>es-06-06</t>
  </si>
  <si>
    <t>es-06-07</t>
  </si>
  <si>
    <t>es-06-08</t>
  </si>
  <si>
    <t>es-06-09</t>
  </si>
  <si>
    <t>es-06-10</t>
  </si>
  <si>
    <t>es-06-11</t>
  </si>
  <si>
    <t>es-06-12</t>
  </si>
  <si>
    <t>es-06-13</t>
  </si>
  <si>
    <t>es-06-14</t>
  </si>
  <si>
    <t>es-06-15</t>
  </si>
  <si>
    <t>es-06-16</t>
  </si>
  <si>
    <t>Local</t>
  </si>
  <si>
    <t>Apple</t>
  </si>
  <si>
    <t>C02DDQ4PP3XY</t>
  </si>
  <si>
    <t>SSD</t>
  </si>
  <si>
    <t>es-14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</si>
</sst>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0"/>
      <name val="Cambria"/>
      <family val="1"/>
    </font>
    <font>
      <b/>
      <sz val="14"/>
      <color theme="0"/>
      <name val="Cambria"/>
      <family val="1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b/>
      <sz val="12"/>
      <name val="Cambria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B9B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/>
      <right style="dashed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/>
      <top style="dashed">
        <color auto="1"/>
      </top>
      <bottom style="hair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hair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 style="hair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hair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hair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5" fillId="0" borderId="21" xfId="0" applyFont="1" applyBorder="1"/>
    <xf numFmtId="0" fontId="0" fillId="0" borderId="21" xfId="0" applyBorder="1"/>
    <xf numFmtId="0" fontId="4" fillId="0" borderId="2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/>
    <xf numFmtId="0" fontId="1" fillId="0" borderId="22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164" fontId="1" fillId="0" borderId="46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45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8" xfId="0" applyNumberFormat="1" applyFont="1" applyBorder="1" applyAlignment="1">
      <alignment horizontal="center" vertical="center"/>
    </xf>
    <xf numFmtId="0" fontId="5" fillId="0" borderId="50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52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4" fontId="1" fillId="0" borderId="55" xfId="0" applyNumberFormat="1" applyFont="1" applyBorder="1" applyAlignment="1">
      <alignment horizontal="center" vertical="center"/>
    </xf>
    <xf numFmtId="164" fontId="1" fillId="0" borderId="56" xfId="0" applyNumberFormat="1" applyFont="1" applyBorder="1" applyAlignment="1">
      <alignment horizontal="center" vertical="center"/>
    </xf>
    <xf numFmtId="164" fontId="1" fillId="0" borderId="57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21" xfId="0" applyFont="1" applyBorder="1" applyAlignment="1">
      <alignment horizontal="left"/>
    </xf>
    <xf numFmtId="1" fontId="5" fillId="0" borderId="21" xfId="0" applyNumberFormat="1" applyFon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tabSelected="1" workbookViewId="0">
      <selection activeCell="B17" sqref="B17"/>
    </sheetView>
  </sheetViews>
  <sheetFormatPr defaultRowHeight="15" x14ac:dyDescent="0.25"/>
  <cols>
    <col min="2" max="2" width="17.5703125" bestFit="1" customWidth="1"/>
  </cols>
  <sheetData>
    <row r="3" spans="1:7" x14ac:dyDescent="0.25">
      <c r="A3" t="s">
        <v>31</v>
      </c>
      <c r="B3" t="s">
        <v>5</v>
      </c>
      <c r="C3" t="s">
        <v>30</v>
      </c>
    </row>
    <row r="4" spans="1:7" x14ac:dyDescent="0.25">
      <c r="A4">
        <v>1</v>
      </c>
      <c r="B4" s="57" t="s">
        <v>2</v>
      </c>
      <c r="C4" t="s">
        <v>35</v>
      </c>
    </row>
    <row r="5" spans="1:7" ht="15.75" x14ac:dyDescent="0.25">
      <c r="A5">
        <v>2</v>
      </c>
      <c r="B5" s="56" t="s">
        <v>34</v>
      </c>
      <c r="C5" t="s">
        <v>36</v>
      </c>
    </row>
    <row r="6" spans="1:7" ht="15.75" x14ac:dyDescent="0.25">
      <c r="A6">
        <v>3</v>
      </c>
      <c r="B6" t="s">
        <v>44</v>
      </c>
      <c r="C6" t="s">
        <v>37</v>
      </c>
      <c r="G6" s="56"/>
    </row>
    <row r="7" spans="1:7" ht="15.75" x14ac:dyDescent="0.25">
      <c r="A7">
        <v>4</v>
      </c>
      <c r="B7" t="s">
        <v>45</v>
      </c>
      <c r="C7" t="s">
        <v>38</v>
      </c>
      <c r="G7" s="56"/>
    </row>
    <row r="8" spans="1:7" ht="15.75" x14ac:dyDescent="0.25">
      <c r="A8">
        <v>5</v>
      </c>
      <c r="B8" t="s">
        <v>43</v>
      </c>
      <c r="C8" t="s">
        <v>39</v>
      </c>
      <c r="G8" s="58"/>
    </row>
    <row r="9" spans="1:7" ht="15.75" x14ac:dyDescent="0.25">
      <c r="A9">
        <v>6</v>
      </c>
      <c r="B9" t="s">
        <v>46</v>
      </c>
      <c r="C9" t="s">
        <v>40</v>
      </c>
      <c r="G9" s="59"/>
    </row>
    <row r="10" spans="1:7" ht="15.75" x14ac:dyDescent="0.25">
      <c r="A10">
        <v>7</v>
      </c>
      <c r="B10" t="s">
        <v>47</v>
      </c>
      <c r="C10" t="s">
        <v>41</v>
      </c>
      <c r="G10" s="59"/>
    </row>
    <row r="11" spans="1:7" ht="15.75" x14ac:dyDescent="0.25">
      <c r="A11">
        <v>8</v>
      </c>
      <c r="B11" t="s">
        <v>69</v>
      </c>
      <c r="C11" t="s">
        <v>42</v>
      </c>
      <c r="G11" s="59"/>
    </row>
    <row r="12" spans="1:7" x14ac:dyDescent="0.25">
      <c r="A12">
        <v>9</v>
      </c>
      <c r="B12" t="s">
        <v>74</v>
      </c>
      <c r="C12" t="s">
        <v>73</v>
      </c>
    </row>
    <row r="13" spans="1:7" x14ac:dyDescent="0.25">
      <c r="A13">
        <v>10</v>
      </c>
      <c r="B13" t="s">
        <v>248</v>
      </c>
      <c r="C13" t="s">
        <v>48</v>
      </c>
    </row>
    <row r="14" spans="1:7" x14ac:dyDescent="0.25">
      <c r="A14">
        <v>11</v>
      </c>
      <c r="B14" t="s">
        <v>85</v>
      </c>
      <c r="C14" t="s">
        <v>75</v>
      </c>
    </row>
    <row r="15" spans="1:7" x14ac:dyDescent="0.25">
      <c r="A15">
        <v>12</v>
      </c>
      <c r="B15" t="s">
        <v>90</v>
      </c>
      <c r="C15" t="s">
        <v>76</v>
      </c>
    </row>
    <row r="16" spans="1:7" x14ac:dyDescent="0.25">
      <c r="A16">
        <v>13</v>
      </c>
      <c r="B16" t="s">
        <v>89</v>
      </c>
      <c r="C16" t="s">
        <v>77</v>
      </c>
    </row>
    <row r="17" spans="1:3" x14ac:dyDescent="0.25">
      <c r="A17">
        <v>14</v>
      </c>
      <c r="B17" t="s">
        <v>278</v>
      </c>
      <c r="C17" t="s">
        <v>279</v>
      </c>
    </row>
    <row r="18" spans="1:3" x14ac:dyDescent="0.25">
      <c r="A18">
        <v>15</v>
      </c>
    </row>
    <row r="19" spans="1:3" x14ac:dyDescent="0.25">
      <c r="A19">
        <v>16</v>
      </c>
    </row>
    <row r="20" spans="1:3" x14ac:dyDescent="0.25">
      <c r="A20">
        <v>17</v>
      </c>
    </row>
    <row r="21" spans="1:3" x14ac:dyDescent="0.25">
      <c r="A21">
        <v>18</v>
      </c>
    </row>
    <row r="22" spans="1:3" x14ac:dyDescent="0.25">
      <c r="A22">
        <v>19</v>
      </c>
    </row>
    <row r="23" spans="1:3" x14ac:dyDescent="0.25">
      <c r="A23">
        <v>20</v>
      </c>
    </row>
  </sheetData>
  <conditionalFormatting sqref="B5 G6:G11">
    <cfRule type="duplicateValues" dxfId="2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45" zoomScaleNormal="145" workbookViewId="0">
      <selection activeCell="H12" sqref="H12"/>
    </sheetView>
  </sheetViews>
  <sheetFormatPr defaultRowHeight="15" x14ac:dyDescent="0.25"/>
  <cols>
    <col min="2" max="2" width="11.85546875" customWidth="1"/>
    <col min="3" max="3" width="16.42578125" customWidth="1"/>
    <col min="4" max="4" width="18.28515625" customWidth="1"/>
    <col min="5" max="5" width="18" bestFit="1" customWidth="1"/>
    <col min="6" max="6" width="18" customWidth="1"/>
    <col min="7" max="7" width="29" bestFit="1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20</v>
      </c>
      <c r="D2" s="54" t="str">
        <f>"Issue Qty:  "&amp;COUNTIF('Inv. Issue'!$F$4:$F$103,"*es-01*")</f>
        <v>Issue Qty:  11</v>
      </c>
      <c r="E2" s="54" t="str">
        <f>"Temp Issue:  "&amp;COUNTIFS('Temp. Issue'!$G$4:$G$103,"*es-01*",'Temp. Issue'!$K$4:$K$103,"Return")</f>
        <v>Temp Issue:  0</v>
      </c>
      <c r="F2" s="54" t="str">
        <f>"Salvage:  "&amp;COUNTIF(Salvage!$F$4:$F$88,"*es-01*")</f>
        <v>Salvage:  1</v>
      </c>
      <c r="G2" s="55" t="str">
        <f>"Balance:  "&amp;COUNTA($D$6:$D$105)-COUNTIF('Inv. Issue'!$F$4:$F$103,"*es-01*")-COUNTIF('Temp. Issue'!$G$4:$G$103,"*es-01*")-COUNTIF(Salvage!$F$4:$F$88,"*es-01*")</f>
        <v>Balance:  8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8</v>
      </c>
      <c r="D4" s="76"/>
      <c r="E4" s="76"/>
      <c r="F4" s="76"/>
      <c r="G4" s="77"/>
      <c r="H4" s="70" t="s">
        <v>3</v>
      </c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7</v>
      </c>
      <c r="E6" s="17" t="s">
        <v>112</v>
      </c>
      <c r="F6" s="21"/>
      <c r="G6" s="18" t="s">
        <v>138</v>
      </c>
    </row>
    <row r="7" spans="3:9" ht="19.5" customHeight="1" x14ac:dyDescent="0.25">
      <c r="C7" s="51">
        <v>2</v>
      </c>
      <c r="D7" s="17" t="s">
        <v>9</v>
      </c>
      <c r="E7" s="17" t="s">
        <v>112</v>
      </c>
      <c r="F7" s="21"/>
      <c r="G7" s="18" t="s">
        <v>137</v>
      </c>
    </row>
    <row r="8" spans="3:9" ht="19.5" customHeight="1" x14ac:dyDescent="0.25">
      <c r="C8" s="16">
        <v>3</v>
      </c>
      <c r="D8" s="17" t="s">
        <v>10</v>
      </c>
      <c r="E8" s="17" t="s">
        <v>112</v>
      </c>
      <c r="F8" s="21"/>
      <c r="G8" s="18" t="s">
        <v>133</v>
      </c>
    </row>
    <row r="9" spans="3:9" ht="19.5" customHeight="1" x14ac:dyDescent="0.25">
      <c r="C9" s="16">
        <v>4</v>
      </c>
      <c r="D9" s="17" t="s">
        <v>11</v>
      </c>
      <c r="E9" s="17" t="s">
        <v>140</v>
      </c>
      <c r="F9" s="21"/>
      <c r="G9" s="18" t="s">
        <v>147</v>
      </c>
    </row>
    <row r="10" spans="3:9" ht="19.5" customHeight="1" x14ac:dyDescent="0.25">
      <c r="C10" s="16">
        <v>5</v>
      </c>
      <c r="D10" s="17" t="s">
        <v>95</v>
      </c>
      <c r="E10" s="17" t="s">
        <v>112</v>
      </c>
      <c r="F10" s="21"/>
      <c r="G10" s="18" t="s">
        <v>130</v>
      </c>
    </row>
    <row r="11" spans="3:9" ht="19.5" customHeight="1" x14ac:dyDescent="0.25">
      <c r="C11" s="16">
        <v>6</v>
      </c>
      <c r="D11" s="17" t="s">
        <v>96</v>
      </c>
      <c r="E11" s="17" t="s">
        <v>112</v>
      </c>
      <c r="F11" s="21"/>
      <c r="G11" s="18" t="s">
        <v>131</v>
      </c>
    </row>
    <row r="12" spans="3:9" ht="19.5" customHeight="1" x14ac:dyDescent="0.25">
      <c r="C12" s="16">
        <v>7</v>
      </c>
      <c r="D12" s="17" t="s">
        <v>97</v>
      </c>
      <c r="E12" s="17" t="s">
        <v>113</v>
      </c>
      <c r="F12" s="21"/>
      <c r="G12" s="18" t="s">
        <v>139</v>
      </c>
      <c r="H12" t="s">
        <v>149</v>
      </c>
    </row>
    <row r="13" spans="3:9" ht="19.5" customHeight="1" x14ac:dyDescent="0.25">
      <c r="C13" s="16">
        <v>8</v>
      </c>
      <c r="D13" s="17" t="s">
        <v>98</v>
      </c>
      <c r="E13" s="17" t="s">
        <v>140</v>
      </c>
      <c r="F13" s="21"/>
      <c r="G13" s="18" t="s">
        <v>141</v>
      </c>
    </row>
    <row r="14" spans="3:9" ht="19.5" customHeight="1" x14ac:dyDescent="0.25">
      <c r="C14" s="16">
        <v>9</v>
      </c>
      <c r="D14" s="17" t="s">
        <v>99</v>
      </c>
      <c r="E14" s="17" t="s">
        <v>140</v>
      </c>
      <c r="F14" s="21"/>
      <c r="G14" s="18" t="s">
        <v>142</v>
      </c>
    </row>
    <row r="15" spans="3:9" ht="19.5" customHeight="1" x14ac:dyDescent="0.25">
      <c r="C15" s="16">
        <v>10</v>
      </c>
      <c r="D15" s="17" t="s">
        <v>100</v>
      </c>
      <c r="E15" s="17" t="s">
        <v>112</v>
      </c>
      <c r="F15" s="21"/>
      <c r="G15" s="18" t="s">
        <v>125</v>
      </c>
    </row>
    <row r="16" spans="3:9" ht="19.5" customHeight="1" x14ac:dyDescent="0.25">
      <c r="C16" s="16">
        <v>11</v>
      </c>
      <c r="D16" s="17" t="s">
        <v>101</v>
      </c>
      <c r="E16" s="17" t="s">
        <v>112</v>
      </c>
      <c r="F16" s="21"/>
      <c r="G16" s="18" t="s">
        <v>126</v>
      </c>
    </row>
    <row r="17" spans="3:8" ht="19.5" customHeight="1" x14ac:dyDescent="0.25">
      <c r="C17" s="16">
        <v>12</v>
      </c>
      <c r="D17" s="17" t="s">
        <v>102</v>
      </c>
      <c r="E17" s="17" t="s">
        <v>112</v>
      </c>
      <c r="F17" s="21"/>
      <c r="G17" s="18" t="s">
        <v>129</v>
      </c>
    </row>
    <row r="18" spans="3:8" ht="19.5" customHeight="1" x14ac:dyDescent="0.25">
      <c r="C18" s="16">
        <v>13</v>
      </c>
      <c r="D18" s="17" t="s">
        <v>103</v>
      </c>
      <c r="E18" s="17" t="s">
        <v>112</v>
      </c>
      <c r="F18" s="21"/>
      <c r="G18" s="18" t="s">
        <v>127</v>
      </c>
    </row>
    <row r="19" spans="3:8" ht="19.5" customHeight="1" x14ac:dyDescent="0.25">
      <c r="C19" s="16">
        <v>14</v>
      </c>
      <c r="D19" s="17" t="s">
        <v>104</v>
      </c>
      <c r="E19" s="17" t="s">
        <v>112</v>
      </c>
      <c r="F19" s="21"/>
      <c r="G19" s="18" t="s">
        <v>128</v>
      </c>
    </row>
    <row r="20" spans="3:8" ht="19.5" customHeight="1" x14ac:dyDescent="0.25">
      <c r="C20" s="16">
        <v>15</v>
      </c>
      <c r="D20" s="17" t="s">
        <v>105</v>
      </c>
      <c r="E20" s="17" t="s">
        <v>112</v>
      </c>
      <c r="F20" s="21"/>
      <c r="G20" s="18" t="s">
        <v>143</v>
      </c>
    </row>
    <row r="21" spans="3:8" ht="19.5" customHeight="1" x14ac:dyDescent="0.25">
      <c r="C21" s="16">
        <v>16</v>
      </c>
      <c r="D21" s="17" t="s">
        <v>106</v>
      </c>
      <c r="E21" s="17" t="s">
        <v>112</v>
      </c>
      <c r="F21" s="21"/>
      <c r="G21" s="18" t="s">
        <v>144</v>
      </c>
    </row>
    <row r="22" spans="3:8" ht="19.5" customHeight="1" x14ac:dyDescent="0.25">
      <c r="C22" s="16">
        <v>17</v>
      </c>
      <c r="D22" s="17" t="s">
        <v>107</v>
      </c>
      <c r="E22" s="17" t="s">
        <v>145</v>
      </c>
      <c r="F22" s="21"/>
      <c r="G22" s="18" t="s">
        <v>146</v>
      </c>
      <c r="H22" t="s">
        <v>149</v>
      </c>
    </row>
    <row r="23" spans="3:8" ht="19.5" customHeight="1" x14ac:dyDescent="0.25">
      <c r="C23" s="16">
        <v>18</v>
      </c>
      <c r="D23" s="17" t="s">
        <v>108</v>
      </c>
      <c r="E23" s="17" t="s">
        <v>112</v>
      </c>
      <c r="F23" s="21"/>
      <c r="G23" s="18" t="s">
        <v>132</v>
      </c>
    </row>
    <row r="24" spans="3:8" ht="19.5" customHeight="1" x14ac:dyDescent="0.25">
      <c r="C24" s="16">
        <v>19</v>
      </c>
      <c r="D24" s="17" t="s">
        <v>109</v>
      </c>
      <c r="E24" s="17" t="s">
        <v>113</v>
      </c>
      <c r="F24" s="21"/>
      <c r="G24" s="18" t="s">
        <v>148</v>
      </c>
    </row>
    <row r="25" spans="3:8" ht="19.5" customHeight="1" x14ac:dyDescent="0.25">
      <c r="C25" s="16">
        <v>20</v>
      </c>
      <c r="D25" s="17" t="s">
        <v>110</v>
      </c>
      <c r="E25" s="17" t="s">
        <v>113</v>
      </c>
      <c r="F25" s="21"/>
      <c r="G25" s="18" t="s">
        <v>114</v>
      </c>
      <c r="H25" t="s">
        <v>149</v>
      </c>
    </row>
    <row r="26" spans="3:8" ht="19.5" customHeight="1" x14ac:dyDescent="0.25">
      <c r="C26" s="16">
        <v>21</v>
      </c>
      <c r="D26" s="17"/>
      <c r="E26" s="17"/>
      <c r="F26" s="21"/>
      <c r="G26" s="18"/>
    </row>
    <row r="27" spans="3:8" ht="19.5" customHeight="1" x14ac:dyDescent="0.25">
      <c r="C27" s="16">
        <v>22</v>
      </c>
      <c r="D27" s="17"/>
      <c r="E27" s="17"/>
      <c r="F27" s="21"/>
      <c r="G27" s="18"/>
    </row>
    <row r="28" spans="3:8" ht="19.5" customHeight="1" x14ac:dyDescent="0.25">
      <c r="C28" s="16">
        <v>23</v>
      </c>
      <c r="D28" s="17"/>
      <c r="E28" s="17"/>
      <c r="F28" s="21"/>
      <c r="G28" s="18"/>
    </row>
    <row r="29" spans="3:8" ht="19.5" customHeight="1" x14ac:dyDescent="0.25">
      <c r="C29" s="16">
        <v>24</v>
      </c>
      <c r="D29" s="17"/>
      <c r="E29" s="17"/>
      <c r="F29" s="21"/>
      <c r="G29" s="18"/>
    </row>
    <row r="30" spans="3:8" ht="19.5" customHeight="1" x14ac:dyDescent="0.25">
      <c r="C30" s="16">
        <v>25</v>
      </c>
      <c r="D30" s="17"/>
      <c r="E30" s="17"/>
      <c r="F30" s="21"/>
      <c r="G30" s="18"/>
    </row>
    <row r="31" spans="3:8" ht="15.75" x14ac:dyDescent="0.25">
      <c r="C31" s="16">
        <v>26</v>
      </c>
      <c r="D31" s="17"/>
      <c r="E31" s="17"/>
      <c r="F31" s="21"/>
      <c r="G31" s="18"/>
    </row>
    <row r="32" spans="3:8" ht="15.75" x14ac:dyDescent="0.25">
      <c r="C32" s="16">
        <v>27</v>
      </c>
      <c r="D32" s="17"/>
      <c r="E32" s="17"/>
      <c r="F32" s="21"/>
      <c r="G32" s="18"/>
    </row>
    <row r="33" spans="3:7" ht="15.75" x14ac:dyDescent="0.25">
      <c r="C33" s="16">
        <v>28</v>
      </c>
      <c r="D33" s="17"/>
      <c r="E33" s="17"/>
      <c r="F33" s="21"/>
      <c r="G33" s="18"/>
    </row>
    <row r="34" spans="3:7" ht="15.75" x14ac:dyDescent="0.25">
      <c r="C34" s="16">
        <v>29</v>
      </c>
      <c r="D34" s="17"/>
      <c r="E34" s="17"/>
      <c r="F34" s="21"/>
      <c r="G34" s="18"/>
    </row>
    <row r="35" spans="3:7" ht="15.75" x14ac:dyDescent="0.25">
      <c r="C35" s="16">
        <v>30</v>
      </c>
      <c r="D35" s="17"/>
      <c r="E35" s="17"/>
      <c r="F35" s="21"/>
      <c r="G35" s="18"/>
    </row>
    <row r="36" spans="3:7" ht="15.75" x14ac:dyDescent="0.25">
      <c r="C36" s="16">
        <v>31</v>
      </c>
      <c r="D36" s="17"/>
      <c r="E36" s="17"/>
      <c r="F36" s="21"/>
      <c r="G36" s="18"/>
    </row>
    <row r="37" spans="3:7" ht="15.75" x14ac:dyDescent="0.25">
      <c r="C37" s="16">
        <v>32</v>
      </c>
      <c r="D37" s="17"/>
      <c r="E37" s="17"/>
      <c r="F37" s="21"/>
      <c r="G37" s="18"/>
    </row>
    <row r="38" spans="3:7" ht="15.75" x14ac:dyDescent="0.25">
      <c r="C38" s="16">
        <v>33</v>
      </c>
      <c r="D38" s="17"/>
      <c r="E38" s="17"/>
      <c r="F38" s="21"/>
      <c r="G38" s="18"/>
    </row>
    <row r="39" spans="3:7" ht="15.75" x14ac:dyDescent="0.25">
      <c r="C39" s="16">
        <v>34</v>
      </c>
      <c r="D39" s="17"/>
      <c r="E39" s="17"/>
      <c r="F39" s="21"/>
      <c r="G39" s="18"/>
    </row>
    <row r="40" spans="3:7" ht="15.75" x14ac:dyDescent="0.25">
      <c r="C40" s="16">
        <v>35</v>
      </c>
      <c r="D40" s="17"/>
      <c r="E40" s="17"/>
      <c r="F40" s="21"/>
      <c r="G40" s="18"/>
    </row>
    <row r="41" spans="3:7" ht="15.75" x14ac:dyDescent="0.25">
      <c r="C41" s="16">
        <v>36</v>
      </c>
      <c r="D41" s="17"/>
      <c r="E41" s="17"/>
      <c r="F41" s="21"/>
      <c r="G41" s="18"/>
    </row>
    <row r="42" spans="3:7" ht="15.75" x14ac:dyDescent="0.25">
      <c r="C42" s="16">
        <v>37</v>
      </c>
      <c r="D42" s="17"/>
      <c r="E42" s="17"/>
      <c r="F42" s="21"/>
      <c r="G42" s="18"/>
    </row>
    <row r="43" spans="3:7" ht="15.75" x14ac:dyDescent="0.25">
      <c r="C43" s="16">
        <v>38</v>
      </c>
      <c r="D43" s="17"/>
      <c r="E43" s="17"/>
      <c r="F43" s="21"/>
      <c r="G43" s="18"/>
    </row>
    <row r="44" spans="3:7" ht="15.75" x14ac:dyDescent="0.25">
      <c r="C44" s="16">
        <v>39</v>
      </c>
      <c r="D44" s="17"/>
      <c r="E44" s="17"/>
      <c r="F44" s="21"/>
      <c r="G44" s="18"/>
    </row>
    <row r="45" spans="3:7" ht="15.75" x14ac:dyDescent="0.25">
      <c r="C45" s="16">
        <v>40</v>
      </c>
      <c r="D45" s="17"/>
      <c r="E45" s="17"/>
      <c r="F45" s="21"/>
      <c r="G45" s="18"/>
    </row>
    <row r="46" spans="3:7" ht="15.75" x14ac:dyDescent="0.25">
      <c r="C46" s="16">
        <v>41</v>
      </c>
      <c r="D46" s="17"/>
      <c r="E46" s="17"/>
      <c r="F46" s="21"/>
      <c r="G46" s="18"/>
    </row>
    <row r="47" spans="3:7" ht="15.75" x14ac:dyDescent="0.25">
      <c r="C47" s="16">
        <v>42</v>
      </c>
      <c r="D47" s="17"/>
      <c r="E47" s="17"/>
      <c r="F47" s="21"/>
      <c r="G47" s="18"/>
    </row>
    <row r="48" spans="3:7" ht="15.75" x14ac:dyDescent="0.25">
      <c r="C48" s="16">
        <v>43</v>
      </c>
      <c r="D48" s="17"/>
      <c r="E48" s="17"/>
      <c r="F48" s="21"/>
      <c r="G48" s="18"/>
    </row>
    <row r="49" spans="3:7" ht="15.75" x14ac:dyDescent="0.25">
      <c r="C49" s="16">
        <v>44</v>
      </c>
      <c r="D49" s="17"/>
      <c r="E49" s="17"/>
      <c r="F49" s="21"/>
      <c r="G49" s="18"/>
    </row>
    <row r="50" spans="3:7" ht="15.75" x14ac:dyDescent="0.25">
      <c r="C50" s="16">
        <v>45</v>
      </c>
      <c r="D50" s="17"/>
      <c r="E50" s="17"/>
      <c r="F50" s="21"/>
      <c r="G50" s="18"/>
    </row>
    <row r="51" spans="3:7" ht="15.75" x14ac:dyDescent="0.25">
      <c r="C51" s="16">
        <v>46</v>
      </c>
      <c r="D51" s="17"/>
      <c r="E51" s="17"/>
      <c r="F51" s="21"/>
      <c r="G51" s="18"/>
    </row>
    <row r="52" spans="3:7" ht="15.75" x14ac:dyDescent="0.25">
      <c r="C52" s="16">
        <v>47</v>
      </c>
      <c r="D52" s="17"/>
      <c r="E52" s="17"/>
      <c r="F52" s="21"/>
      <c r="G52" s="18"/>
    </row>
    <row r="53" spans="3:7" ht="15.75" x14ac:dyDescent="0.25">
      <c r="C53" s="16">
        <v>48</v>
      </c>
      <c r="D53" s="17"/>
      <c r="E53" s="17"/>
      <c r="F53" s="21"/>
      <c r="G53" s="18"/>
    </row>
    <row r="54" spans="3:7" ht="15.75" x14ac:dyDescent="0.25">
      <c r="C54" s="16">
        <v>49</v>
      </c>
      <c r="D54" s="17"/>
      <c r="E54" s="17"/>
      <c r="F54" s="21"/>
      <c r="G54" s="18"/>
    </row>
    <row r="55" spans="3:7" ht="15.75" x14ac:dyDescent="0.25">
      <c r="C55" s="16">
        <v>50</v>
      </c>
      <c r="D55" s="17"/>
      <c r="E55" s="17"/>
      <c r="F55" s="21"/>
      <c r="G55" s="18"/>
    </row>
    <row r="56" spans="3:7" ht="15.75" x14ac:dyDescent="0.25">
      <c r="C56" s="16">
        <v>51</v>
      </c>
      <c r="D56" s="17"/>
      <c r="E56" s="17"/>
      <c r="F56" s="21"/>
      <c r="G56" s="18"/>
    </row>
    <row r="57" spans="3:7" ht="15.75" x14ac:dyDescent="0.25">
      <c r="C57" s="16">
        <v>52</v>
      </c>
      <c r="D57" s="17"/>
      <c r="E57" s="17"/>
      <c r="F57" s="21"/>
      <c r="G57" s="18"/>
    </row>
    <row r="58" spans="3:7" ht="15.75" x14ac:dyDescent="0.25">
      <c r="C58" s="16">
        <v>53</v>
      </c>
      <c r="D58" s="17"/>
      <c r="E58" s="17"/>
      <c r="F58" s="21"/>
      <c r="G58" s="18"/>
    </row>
    <row r="59" spans="3:7" ht="15.75" x14ac:dyDescent="0.25">
      <c r="C59" s="16">
        <v>54</v>
      </c>
      <c r="D59" s="17"/>
      <c r="E59" s="17"/>
      <c r="F59" s="21"/>
      <c r="G59" s="18"/>
    </row>
    <row r="60" spans="3:7" ht="15.75" x14ac:dyDescent="0.25">
      <c r="C60" s="16">
        <v>55</v>
      </c>
      <c r="D60" s="17"/>
      <c r="E60" s="17"/>
      <c r="F60" s="21"/>
      <c r="G60" s="18"/>
    </row>
    <row r="61" spans="3:7" ht="15.75" x14ac:dyDescent="0.25">
      <c r="C61" s="16">
        <v>56</v>
      </c>
      <c r="D61" s="17"/>
      <c r="E61" s="17"/>
      <c r="F61" s="21"/>
      <c r="G61" s="18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20" priority="2"/>
  </conditionalFormatting>
  <conditionalFormatting sqref="G6:G105">
    <cfRule type="duplicateValues" dxfId="19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I6" sqref="I6"/>
    </sheetView>
  </sheetViews>
  <sheetFormatPr defaultRowHeight="15" x14ac:dyDescent="0.25"/>
  <cols>
    <col min="2" max="2" width="11.85546875" customWidth="1"/>
    <col min="3" max="3" width="15.85546875" customWidth="1"/>
    <col min="4" max="4" width="18.28515625" customWidth="1"/>
    <col min="5" max="5" width="18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27</v>
      </c>
      <c r="D2" s="54" t="str">
        <f>"Issue Qty:  "&amp;COUNTIF('Inv. Issue'!$F$4:$F$103,"*es-02*")</f>
        <v>Issue Qty:  11</v>
      </c>
      <c r="E2" s="54" t="str">
        <f>"Temp Issue:  "&amp;COUNTIFS('Temp. Issue'!$G$4:$G$103,"*es-02*",'Temp. Issue'!$K$4:$K$103,"Return")</f>
        <v>Temp Issue:  0</v>
      </c>
      <c r="F2" s="54" t="str">
        <f>"Salvage:  "&amp;COUNTIF(Salvage!$F$4:$F$88,"*es-02*")</f>
        <v>Salvage:  0</v>
      </c>
      <c r="G2" s="55" t="str">
        <f>"Balance:  "&amp;COUNTA($D$6:$D$105)-COUNTIF('Inv. Issue'!$F$4:$F$103,"*es-02*")-COUNTIF('Temp. Issue'!$G$4:$G$103,"*es-02*")-COUNTIF(Salvage!$F$4:$F$88,"*es-02*")</f>
        <v>Balance:  16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27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26</v>
      </c>
      <c r="E6" s="17" t="s">
        <v>111</v>
      </c>
      <c r="F6" s="21"/>
      <c r="G6" s="18" t="s">
        <v>224</v>
      </c>
    </row>
    <row r="7" spans="3:9" ht="19.5" customHeight="1" x14ac:dyDescent="0.25">
      <c r="C7" s="51">
        <v>2</v>
      </c>
      <c r="D7" s="17" t="s">
        <v>25</v>
      </c>
      <c r="E7" s="17" t="s">
        <v>111</v>
      </c>
      <c r="F7" s="21"/>
      <c r="G7" s="18" t="s">
        <v>225</v>
      </c>
    </row>
    <row r="8" spans="3:9" ht="19.5" customHeight="1" x14ac:dyDescent="0.25">
      <c r="C8" s="16">
        <v>3</v>
      </c>
      <c r="D8" s="17" t="s">
        <v>28</v>
      </c>
      <c r="E8" s="17" t="s">
        <v>111</v>
      </c>
      <c r="F8" s="21"/>
      <c r="G8" s="18" t="s">
        <v>226</v>
      </c>
    </row>
    <row r="9" spans="3:9" ht="19.5" customHeight="1" x14ac:dyDescent="0.25">
      <c r="C9" s="16">
        <v>4</v>
      </c>
      <c r="D9" s="17" t="s">
        <v>29</v>
      </c>
      <c r="E9" s="17" t="s">
        <v>111</v>
      </c>
      <c r="F9" s="21"/>
      <c r="G9" s="18" t="s">
        <v>227</v>
      </c>
    </row>
    <row r="10" spans="3:9" ht="19.5" customHeight="1" x14ac:dyDescent="0.25">
      <c r="C10" s="16">
        <v>5</v>
      </c>
      <c r="D10" s="17" t="s">
        <v>150</v>
      </c>
      <c r="E10" s="17" t="s">
        <v>111</v>
      </c>
      <c r="F10" s="21"/>
      <c r="G10" s="18" t="s">
        <v>228</v>
      </c>
    </row>
    <row r="11" spans="3:9" ht="19.5" customHeight="1" x14ac:dyDescent="0.25">
      <c r="C11" s="16">
        <v>6</v>
      </c>
      <c r="D11" s="17" t="s">
        <v>151</v>
      </c>
      <c r="E11" s="17" t="s">
        <v>111</v>
      </c>
      <c r="F11" s="21"/>
      <c r="G11" s="18" t="s">
        <v>229</v>
      </c>
    </row>
    <row r="12" spans="3:9" ht="19.5" customHeight="1" x14ac:dyDescent="0.25">
      <c r="C12" s="16">
        <v>7</v>
      </c>
      <c r="D12" s="17" t="s">
        <v>152</v>
      </c>
      <c r="E12" s="17" t="s">
        <v>111</v>
      </c>
      <c r="F12" s="21"/>
      <c r="G12" s="18" t="s">
        <v>230</v>
      </c>
    </row>
    <row r="13" spans="3:9" ht="19.5" customHeight="1" x14ac:dyDescent="0.25">
      <c r="C13" s="16">
        <v>8</v>
      </c>
      <c r="D13" s="17" t="s">
        <v>153</v>
      </c>
      <c r="E13" s="17" t="s">
        <v>111</v>
      </c>
      <c r="F13" s="21"/>
      <c r="G13" s="18" t="s">
        <v>231</v>
      </c>
    </row>
    <row r="14" spans="3:9" ht="19.5" customHeight="1" x14ac:dyDescent="0.25">
      <c r="C14" s="16">
        <v>9</v>
      </c>
      <c r="D14" s="17" t="s">
        <v>154</v>
      </c>
      <c r="E14" s="17" t="s">
        <v>111</v>
      </c>
      <c r="F14" s="21"/>
      <c r="G14" s="18" t="s">
        <v>232</v>
      </c>
    </row>
    <row r="15" spans="3:9" ht="19.5" customHeight="1" x14ac:dyDescent="0.25">
      <c r="C15" s="16">
        <v>10</v>
      </c>
      <c r="D15" s="17" t="s">
        <v>155</v>
      </c>
      <c r="E15" s="17" t="s">
        <v>111</v>
      </c>
      <c r="F15" s="21"/>
      <c r="G15" s="18" t="s">
        <v>233</v>
      </c>
    </row>
    <row r="16" spans="3:9" ht="19.5" customHeight="1" x14ac:dyDescent="0.25">
      <c r="C16" s="16">
        <v>11</v>
      </c>
      <c r="D16" s="17" t="s">
        <v>156</v>
      </c>
      <c r="E16" s="17" t="s">
        <v>111</v>
      </c>
      <c r="F16" s="21"/>
      <c r="G16" s="18" t="s">
        <v>234</v>
      </c>
    </row>
    <row r="17" spans="3:7" ht="19.5" customHeight="1" x14ac:dyDescent="0.25">
      <c r="C17" s="16">
        <v>12</v>
      </c>
      <c r="D17" s="17" t="s">
        <v>157</v>
      </c>
      <c r="E17" s="17" t="s">
        <v>111</v>
      </c>
      <c r="F17" s="21"/>
      <c r="G17" s="18" t="s">
        <v>235</v>
      </c>
    </row>
    <row r="18" spans="3:7" ht="19.5" customHeight="1" x14ac:dyDescent="0.25">
      <c r="C18" s="16">
        <v>13</v>
      </c>
      <c r="D18" s="17" t="s">
        <v>158</v>
      </c>
      <c r="E18" s="17" t="s">
        <v>111</v>
      </c>
      <c r="F18" s="21"/>
      <c r="G18" s="18" t="s">
        <v>236</v>
      </c>
    </row>
    <row r="19" spans="3:7" ht="19.5" customHeight="1" x14ac:dyDescent="0.25">
      <c r="C19" s="16">
        <v>14</v>
      </c>
      <c r="D19" s="17" t="s">
        <v>159</v>
      </c>
      <c r="E19" s="17" t="s">
        <v>111</v>
      </c>
      <c r="F19" s="21"/>
      <c r="G19" s="18" t="s">
        <v>237</v>
      </c>
    </row>
    <row r="20" spans="3:7" ht="19.5" customHeight="1" x14ac:dyDescent="0.25">
      <c r="C20" s="16">
        <v>15</v>
      </c>
      <c r="D20" s="17" t="s">
        <v>160</v>
      </c>
      <c r="E20" s="17" t="s">
        <v>111</v>
      </c>
      <c r="F20" s="21"/>
      <c r="G20" s="18" t="s">
        <v>238</v>
      </c>
    </row>
    <row r="21" spans="3:7" ht="19.5" customHeight="1" x14ac:dyDescent="0.25">
      <c r="C21" s="16">
        <v>16</v>
      </c>
      <c r="D21" s="17" t="s">
        <v>161</v>
      </c>
      <c r="E21" s="17" t="s">
        <v>111</v>
      </c>
      <c r="F21" s="21"/>
      <c r="G21" s="18" t="s">
        <v>239</v>
      </c>
    </row>
    <row r="22" spans="3:7" ht="19.5" customHeight="1" x14ac:dyDescent="0.25">
      <c r="C22" s="16">
        <v>17</v>
      </c>
      <c r="D22" s="17" t="s">
        <v>162</v>
      </c>
      <c r="E22" s="17" t="s">
        <v>111</v>
      </c>
      <c r="F22" s="21"/>
      <c r="G22" s="18" t="s">
        <v>172</v>
      </c>
    </row>
    <row r="23" spans="3:7" ht="19.5" customHeight="1" x14ac:dyDescent="0.25">
      <c r="C23" s="16">
        <v>18</v>
      </c>
      <c r="D23" s="17" t="s">
        <v>163</v>
      </c>
      <c r="E23" s="17" t="s">
        <v>111</v>
      </c>
      <c r="F23" s="21"/>
      <c r="G23" s="18" t="s">
        <v>173</v>
      </c>
    </row>
    <row r="24" spans="3:7" ht="19.5" customHeight="1" x14ac:dyDescent="0.25">
      <c r="C24" s="16">
        <v>19</v>
      </c>
      <c r="D24" s="17" t="s">
        <v>164</v>
      </c>
      <c r="E24" s="17" t="s">
        <v>111</v>
      </c>
      <c r="F24" s="21"/>
      <c r="G24" s="18" t="s">
        <v>174</v>
      </c>
    </row>
    <row r="25" spans="3:7" ht="19.5" customHeight="1" x14ac:dyDescent="0.25">
      <c r="C25" s="16">
        <v>20</v>
      </c>
      <c r="D25" s="17" t="s">
        <v>165</v>
      </c>
      <c r="E25" s="17" t="s">
        <v>111</v>
      </c>
      <c r="F25" s="21"/>
      <c r="G25" s="18" t="s">
        <v>175</v>
      </c>
    </row>
    <row r="26" spans="3:7" ht="19.5" customHeight="1" x14ac:dyDescent="0.25">
      <c r="C26" s="16">
        <v>21</v>
      </c>
      <c r="D26" s="17" t="s">
        <v>166</v>
      </c>
      <c r="E26" s="17" t="s">
        <v>111</v>
      </c>
      <c r="F26" s="21"/>
      <c r="G26" s="18" t="s">
        <v>176</v>
      </c>
    </row>
    <row r="27" spans="3:7" ht="19.5" customHeight="1" x14ac:dyDescent="0.25">
      <c r="C27" s="16">
        <v>22</v>
      </c>
      <c r="D27" s="17" t="s">
        <v>167</v>
      </c>
      <c r="E27" s="17" t="s">
        <v>111</v>
      </c>
      <c r="F27" s="21"/>
      <c r="G27" s="18" t="s">
        <v>177</v>
      </c>
    </row>
    <row r="28" spans="3:7" ht="19.5" customHeight="1" x14ac:dyDescent="0.25">
      <c r="C28" s="16">
        <v>23</v>
      </c>
      <c r="D28" s="17" t="s">
        <v>168</v>
      </c>
      <c r="E28" s="17" t="s">
        <v>111</v>
      </c>
      <c r="F28" s="21"/>
      <c r="G28" s="18" t="s">
        <v>178</v>
      </c>
    </row>
    <row r="29" spans="3:7" ht="19.5" customHeight="1" x14ac:dyDescent="0.25">
      <c r="C29" s="16">
        <v>24</v>
      </c>
      <c r="D29" s="17" t="s">
        <v>169</v>
      </c>
      <c r="E29" s="17" t="s">
        <v>145</v>
      </c>
      <c r="F29" s="21"/>
      <c r="G29" s="18" t="s">
        <v>179</v>
      </c>
    </row>
    <row r="30" spans="3:7" ht="19.5" customHeight="1" x14ac:dyDescent="0.25">
      <c r="C30" s="16">
        <v>25</v>
      </c>
      <c r="D30" s="17" t="s">
        <v>170</v>
      </c>
      <c r="E30" s="17" t="s">
        <v>180</v>
      </c>
      <c r="F30" s="21"/>
      <c r="G30" s="71">
        <v>32545375910</v>
      </c>
    </row>
    <row r="31" spans="3:7" ht="15.75" x14ac:dyDescent="0.25">
      <c r="C31" s="16">
        <v>26</v>
      </c>
      <c r="D31" s="17" t="s">
        <v>171</v>
      </c>
      <c r="E31" s="17" t="s">
        <v>111</v>
      </c>
      <c r="F31" s="21"/>
      <c r="G31" s="18" t="s">
        <v>182</v>
      </c>
    </row>
    <row r="32" spans="3:7" ht="15.75" x14ac:dyDescent="0.25">
      <c r="C32" s="16">
        <v>27</v>
      </c>
      <c r="D32" s="17" t="s">
        <v>181</v>
      </c>
      <c r="E32" s="17" t="s">
        <v>140</v>
      </c>
      <c r="F32" s="21"/>
      <c r="G32" s="18" t="s">
        <v>183</v>
      </c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18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E16" sqref="E16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18" bestFit="1" customWidth="1"/>
    <col min="6" max="6" width="18" customWidth="1"/>
    <col min="7" max="7" width="30" bestFit="1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10</v>
      </c>
      <c r="D2" s="54" t="str">
        <f>"Issue Qty:  "&amp;COUNTIF('Inv. Issue'!$F$4:$F$103,"*es-03*")</f>
        <v>Issue Qty:  10</v>
      </c>
      <c r="E2" s="54" t="str">
        <f>"Temp Issue:  "&amp;COUNTIFS('Temp. Issue'!$G$4:$G$103,"*es-03*",'Temp. Issue'!$K$4:$K$103,"Return")</f>
        <v>Temp Issue:  0</v>
      </c>
      <c r="F2" s="54" t="str">
        <f>"Salvage:  "&amp;COUNTIF(Salvage!$E$4:$E$88,"*es-03*")</f>
        <v>Salvage:  0</v>
      </c>
      <c r="G2" s="55" t="str">
        <f>"Balance:  "&amp;COUNTA($D$6:$D$105)-COUNTIF('Inv. Issue'!$F$4:$F$103,"*es-03*")-COUNTIF('Temp. Issue'!$G$4:$G$103,"*es-03*")-COUNTIF(Salvage!$E$4:$E$88,"*es-03*")</f>
        <v>Balance:  0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51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50</v>
      </c>
      <c r="E6" s="17" t="s">
        <v>140</v>
      </c>
      <c r="F6" s="21"/>
      <c r="G6" s="18" t="s">
        <v>214</v>
      </c>
    </row>
    <row r="7" spans="3:9" ht="19.5" customHeight="1" x14ac:dyDescent="0.25">
      <c r="C7" s="51">
        <v>2</v>
      </c>
      <c r="D7" s="17" t="s">
        <v>52</v>
      </c>
      <c r="E7" s="52" t="s">
        <v>140</v>
      </c>
      <c r="F7" s="21"/>
      <c r="G7" s="18" t="s">
        <v>215</v>
      </c>
    </row>
    <row r="8" spans="3:9" ht="19.5" customHeight="1" x14ac:dyDescent="0.25">
      <c r="C8" s="16">
        <v>3</v>
      </c>
      <c r="D8" s="17" t="s">
        <v>53</v>
      </c>
      <c r="E8" s="17" t="s">
        <v>140</v>
      </c>
      <c r="F8" s="21"/>
      <c r="G8" s="18" t="s">
        <v>216</v>
      </c>
    </row>
    <row r="9" spans="3:9" ht="19.5" customHeight="1" x14ac:dyDescent="0.25">
      <c r="C9" s="16">
        <v>4</v>
      </c>
      <c r="D9" s="17" t="s">
        <v>54</v>
      </c>
      <c r="E9" s="17" t="s">
        <v>140</v>
      </c>
      <c r="F9" s="21"/>
      <c r="G9" s="18" t="s">
        <v>217</v>
      </c>
    </row>
    <row r="10" spans="3:9" ht="19.5" customHeight="1" x14ac:dyDescent="0.25">
      <c r="C10" s="16">
        <v>5</v>
      </c>
      <c r="D10" s="17" t="s">
        <v>208</v>
      </c>
      <c r="E10" s="17" t="s">
        <v>111</v>
      </c>
      <c r="F10" s="21"/>
      <c r="G10" s="18" t="s">
        <v>218</v>
      </c>
    </row>
    <row r="11" spans="3:9" ht="19.5" customHeight="1" x14ac:dyDescent="0.25">
      <c r="C11" s="16">
        <v>6</v>
      </c>
      <c r="D11" s="17" t="s">
        <v>209</v>
      </c>
      <c r="E11" s="17" t="s">
        <v>111</v>
      </c>
      <c r="F11" s="21"/>
      <c r="G11" s="18" t="s">
        <v>219</v>
      </c>
    </row>
    <row r="12" spans="3:9" ht="19.5" customHeight="1" x14ac:dyDescent="0.25">
      <c r="C12" s="16">
        <v>7</v>
      </c>
      <c r="D12" s="17" t="s">
        <v>210</v>
      </c>
      <c r="E12" s="17" t="s">
        <v>140</v>
      </c>
      <c r="F12" s="21"/>
      <c r="G12" s="18" t="s">
        <v>220</v>
      </c>
    </row>
    <row r="13" spans="3:9" ht="19.5" customHeight="1" x14ac:dyDescent="0.25">
      <c r="C13" s="16">
        <v>8</v>
      </c>
      <c r="D13" s="17" t="s">
        <v>211</v>
      </c>
      <c r="E13" s="17" t="s">
        <v>140</v>
      </c>
      <c r="F13" s="21"/>
      <c r="G13" s="18" t="s">
        <v>221</v>
      </c>
    </row>
    <row r="14" spans="3:9" ht="19.5" customHeight="1" x14ac:dyDescent="0.25">
      <c r="C14" s="16">
        <v>9</v>
      </c>
      <c r="D14" s="17" t="s">
        <v>212</v>
      </c>
      <c r="E14" s="17" t="s">
        <v>111</v>
      </c>
      <c r="F14" s="21"/>
      <c r="G14" s="18" t="s">
        <v>222</v>
      </c>
    </row>
    <row r="15" spans="3:9" ht="19.5" customHeight="1" x14ac:dyDescent="0.25">
      <c r="C15" s="16">
        <v>10</v>
      </c>
      <c r="D15" s="17" t="s">
        <v>213</v>
      </c>
      <c r="E15" s="17" t="s">
        <v>111</v>
      </c>
      <c r="F15" s="21"/>
      <c r="G15" s="18" t="s">
        <v>223</v>
      </c>
    </row>
    <row r="16" spans="3:9" ht="19.5" customHeight="1" x14ac:dyDescent="0.25">
      <c r="C16" s="16">
        <v>11</v>
      </c>
      <c r="D16" s="17"/>
      <c r="E16" s="17"/>
      <c r="F16" s="21"/>
      <c r="G16" s="18"/>
    </row>
    <row r="17" spans="3:7" ht="19.5" customHeight="1" x14ac:dyDescent="0.25">
      <c r="C17" s="16">
        <v>12</v>
      </c>
      <c r="D17" s="17"/>
      <c r="E17" s="17"/>
      <c r="F17" s="21"/>
      <c r="G17" s="18"/>
    </row>
    <row r="18" spans="3:7" ht="19.5" customHeight="1" x14ac:dyDescent="0.25">
      <c r="C18" s="16">
        <v>13</v>
      </c>
      <c r="D18" s="17"/>
      <c r="E18" s="17"/>
      <c r="F18" s="21"/>
      <c r="G18" s="18"/>
    </row>
    <row r="19" spans="3:7" ht="19.5" customHeight="1" x14ac:dyDescent="0.25">
      <c r="C19" s="16">
        <v>14</v>
      </c>
      <c r="D19" s="17"/>
      <c r="E19" s="17"/>
      <c r="F19" s="21"/>
      <c r="G19" s="18"/>
    </row>
    <row r="20" spans="3:7" ht="19.5" customHeight="1" x14ac:dyDescent="0.25">
      <c r="C20" s="16">
        <v>15</v>
      </c>
      <c r="D20" s="17"/>
      <c r="E20" s="17"/>
      <c r="F20" s="21"/>
      <c r="G20" s="18"/>
    </row>
    <row r="21" spans="3:7" ht="19.5" customHeight="1" x14ac:dyDescent="0.25">
      <c r="C21" s="16">
        <v>16</v>
      </c>
      <c r="D21" s="17"/>
      <c r="E21" s="17"/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17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D16" sqref="D16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60.7109375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10</v>
      </c>
      <c r="D2" s="54" t="str">
        <f>"Issue Qty:  "&amp;COUNTIF('Inv. Issue'!$F$4:$F$103,"*es-04*")</f>
        <v>Issue Qty:  10</v>
      </c>
      <c r="E2" s="54" t="str">
        <f>"Temp Issue:  "&amp;COUNTIFS('Temp. Issue'!$G$4:$G$103,"*es-04*",'Temp. Issue'!$K$4:$K$103,"Return")</f>
        <v>Temp Issue:  0</v>
      </c>
      <c r="F2" s="54" t="str">
        <f>"Salvage:  "&amp;COUNTIF(Salvage!$E$4:$E$88,"*es-04*")</f>
        <v>Salvage:  0</v>
      </c>
      <c r="G2" s="55" t="str">
        <f>"Balance:  "&amp;COUNTA($D$6:$D$105)-COUNTIF('Inv. Issue'!$F$4:$F$103,"*es-04*")-COUNTIF('Temp. Issue'!$G$4:$G$103,"*es-04*")-COUNTIF(Salvage!$E$4:$E$88,"*es-04*")</f>
        <v>Balance:  0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59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55</v>
      </c>
      <c r="E6" s="56" t="s">
        <v>190</v>
      </c>
      <c r="F6" s="21"/>
      <c r="G6" s="18" t="s">
        <v>191</v>
      </c>
    </row>
    <row r="7" spans="3:9" ht="19.5" customHeight="1" x14ac:dyDescent="0.25">
      <c r="C7" s="51">
        <v>2</v>
      </c>
      <c r="D7" s="17" t="s">
        <v>56</v>
      </c>
      <c r="E7" s="56" t="s">
        <v>192</v>
      </c>
      <c r="F7" s="21"/>
      <c r="G7" s="18" t="s">
        <v>193</v>
      </c>
    </row>
    <row r="8" spans="3:9" ht="19.5" customHeight="1" x14ac:dyDescent="0.25">
      <c r="C8" s="16">
        <v>3</v>
      </c>
      <c r="D8" s="17" t="s">
        <v>57</v>
      </c>
      <c r="E8" s="56" t="s">
        <v>195</v>
      </c>
      <c r="F8" s="21"/>
      <c r="G8" s="18" t="s">
        <v>196</v>
      </c>
    </row>
    <row r="9" spans="3:9" ht="19.5" customHeight="1" x14ac:dyDescent="0.25">
      <c r="C9" s="16">
        <v>4</v>
      </c>
      <c r="D9" s="17" t="s">
        <v>58</v>
      </c>
      <c r="E9" s="56" t="s">
        <v>197</v>
      </c>
      <c r="F9" s="21"/>
      <c r="G9" s="18" t="s">
        <v>198</v>
      </c>
    </row>
    <row r="10" spans="3:9" ht="19.5" customHeight="1" x14ac:dyDescent="0.25">
      <c r="C10" s="16">
        <v>5</v>
      </c>
      <c r="D10" s="17" t="s">
        <v>184</v>
      </c>
      <c r="E10" s="56" t="s">
        <v>195</v>
      </c>
      <c r="F10" s="21"/>
      <c r="G10" s="18" t="s">
        <v>199</v>
      </c>
    </row>
    <row r="11" spans="3:9" ht="19.5" customHeight="1" x14ac:dyDescent="0.25">
      <c r="C11" s="16">
        <v>6</v>
      </c>
      <c r="D11" s="17" t="s">
        <v>185</v>
      </c>
      <c r="E11" s="56" t="s">
        <v>194</v>
      </c>
      <c r="F11" s="21"/>
      <c r="G11" s="18" t="s">
        <v>200</v>
      </c>
    </row>
    <row r="12" spans="3:9" ht="19.5" customHeight="1" x14ac:dyDescent="0.25">
      <c r="C12" s="16">
        <v>7</v>
      </c>
      <c r="D12" s="17" t="s">
        <v>186</v>
      </c>
      <c r="E12" s="56" t="s">
        <v>201</v>
      </c>
      <c r="F12" s="21"/>
      <c r="G12" s="18" t="s">
        <v>202</v>
      </c>
    </row>
    <row r="13" spans="3:9" ht="19.5" customHeight="1" x14ac:dyDescent="0.25">
      <c r="C13" s="16">
        <v>8</v>
      </c>
      <c r="D13" s="17" t="s">
        <v>187</v>
      </c>
      <c r="E13" s="56" t="s">
        <v>203</v>
      </c>
      <c r="F13" s="21"/>
      <c r="G13" s="18" t="s">
        <v>204</v>
      </c>
    </row>
    <row r="14" spans="3:9" ht="19.5" customHeight="1" x14ac:dyDescent="0.25">
      <c r="C14" s="16">
        <v>9</v>
      </c>
      <c r="D14" s="17" t="s">
        <v>188</v>
      </c>
      <c r="E14" s="56" t="s">
        <v>201</v>
      </c>
      <c r="F14" s="21"/>
      <c r="G14" s="18" t="s">
        <v>205</v>
      </c>
    </row>
    <row r="15" spans="3:9" ht="19.5" customHeight="1" x14ac:dyDescent="0.25">
      <c r="C15" s="16">
        <v>10</v>
      </c>
      <c r="D15" s="17" t="s">
        <v>189</v>
      </c>
      <c r="E15" s="56" t="s">
        <v>206</v>
      </c>
      <c r="F15" s="21"/>
      <c r="G15" s="18" t="s">
        <v>207</v>
      </c>
    </row>
    <row r="16" spans="3:9" ht="19.5" customHeight="1" x14ac:dyDescent="0.25">
      <c r="C16" s="16">
        <v>11</v>
      </c>
      <c r="D16" s="17"/>
      <c r="E16" s="17"/>
      <c r="F16" s="21"/>
      <c r="G16" s="18"/>
    </row>
    <row r="17" spans="3:7" ht="19.5" customHeight="1" x14ac:dyDescent="0.25">
      <c r="C17" s="16">
        <v>12</v>
      </c>
      <c r="D17" s="17"/>
      <c r="E17" s="17"/>
      <c r="F17" s="21"/>
      <c r="G17" s="18"/>
    </row>
    <row r="18" spans="3:7" ht="19.5" customHeight="1" x14ac:dyDescent="0.25">
      <c r="C18" s="16">
        <v>13</v>
      </c>
      <c r="D18" s="17"/>
      <c r="E18" s="17"/>
      <c r="F18" s="21"/>
      <c r="G18" s="18"/>
    </row>
    <row r="19" spans="3:7" ht="19.5" customHeight="1" x14ac:dyDescent="0.25">
      <c r="C19" s="16">
        <v>14</v>
      </c>
      <c r="D19" s="17"/>
      <c r="E19" s="17"/>
      <c r="F19" s="21"/>
      <c r="G19" s="18"/>
    </row>
    <row r="20" spans="3:7" ht="19.5" customHeight="1" x14ac:dyDescent="0.25">
      <c r="C20" s="16">
        <v>15</v>
      </c>
      <c r="D20" s="17"/>
      <c r="E20" s="17"/>
      <c r="F20" s="21"/>
      <c r="G20" s="18"/>
    </row>
    <row r="21" spans="3:7" ht="19.5" customHeight="1" x14ac:dyDescent="0.25">
      <c r="C21" s="16">
        <v>16</v>
      </c>
      <c r="D21" s="17"/>
      <c r="E21" s="17"/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E11" sqref="E11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18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0</v>
      </c>
      <c r="D2" s="54" t="str">
        <f>"Issue Qty:  "&amp;COUNTIF('Inv. Issue'!$F$4:$F$103,"*es-05*")</f>
        <v>Issue Qty:  0</v>
      </c>
      <c r="E2" s="54" t="str">
        <f>"Temp Issue:  "&amp;COUNTIFS('Temp. Issue'!$G$4:$G$103,"*es-05*",'Temp. Issue'!$K$4:$K$103,"Return")</f>
        <v>Temp Issue:  0</v>
      </c>
      <c r="F2" s="54" t="str">
        <f>"Salvage:  "&amp;COUNTIF(Salvage!$E$4:$E$88,"*es-05*")</f>
        <v>Salvage:  0</v>
      </c>
      <c r="G2" s="55" t="str">
        <f>"Balance:  "&amp;COUNTA($D$6:$D$105)-COUNTIF('Inv. Issue'!$F$4:$F$103,"*es-05*")-COUNTIF('Temp. Issue'!$G$4:$G$103,"*es-05*")-COUNTIF(Salvage!$E$4:$E$88,"*es-05*")</f>
        <v>Balance:  0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60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/>
      <c r="E6" s="17"/>
      <c r="F6" s="21"/>
      <c r="G6" s="18"/>
    </row>
    <row r="7" spans="3:9" ht="19.5" customHeight="1" x14ac:dyDescent="0.25">
      <c r="C7" s="51">
        <v>2</v>
      </c>
      <c r="D7" s="17"/>
      <c r="E7" s="52"/>
      <c r="F7" s="21"/>
      <c r="G7" s="18"/>
    </row>
    <row r="8" spans="3:9" ht="19.5" customHeight="1" x14ac:dyDescent="0.25">
      <c r="C8" s="16">
        <v>3</v>
      </c>
      <c r="D8" s="17"/>
      <c r="E8" s="17"/>
      <c r="F8" s="21"/>
      <c r="G8" s="18"/>
    </row>
    <row r="9" spans="3:9" ht="19.5" customHeight="1" x14ac:dyDescent="0.25">
      <c r="C9" s="16">
        <v>4</v>
      </c>
      <c r="D9" s="17"/>
      <c r="E9" s="17"/>
      <c r="F9" s="21"/>
      <c r="G9" s="18"/>
    </row>
    <row r="10" spans="3:9" ht="19.5" customHeight="1" x14ac:dyDescent="0.25">
      <c r="C10" s="16">
        <v>5</v>
      </c>
      <c r="D10" s="17"/>
      <c r="E10" s="17"/>
      <c r="F10" s="21"/>
      <c r="G10" s="18"/>
    </row>
    <row r="11" spans="3:9" ht="19.5" customHeight="1" x14ac:dyDescent="0.25">
      <c r="C11" s="16">
        <v>6</v>
      </c>
      <c r="D11" s="17"/>
      <c r="E11" s="17"/>
      <c r="F11" s="21"/>
      <c r="G11" s="18"/>
    </row>
    <row r="12" spans="3:9" ht="19.5" customHeight="1" x14ac:dyDescent="0.25">
      <c r="C12" s="16">
        <v>7</v>
      </c>
      <c r="D12" s="17"/>
      <c r="E12" s="17"/>
      <c r="F12" s="21"/>
      <c r="G12" s="18"/>
    </row>
    <row r="13" spans="3:9" ht="19.5" customHeight="1" x14ac:dyDescent="0.25">
      <c r="C13" s="16">
        <v>8</v>
      </c>
      <c r="D13" s="17"/>
      <c r="E13" s="17"/>
      <c r="F13" s="21"/>
      <c r="G13" s="18"/>
    </row>
    <row r="14" spans="3:9" ht="19.5" customHeight="1" x14ac:dyDescent="0.25">
      <c r="C14" s="16">
        <v>9</v>
      </c>
      <c r="D14" s="17"/>
      <c r="E14" s="17"/>
      <c r="F14" s="21"/>
      <c r="G14" s="18"/>
    </row>
    <row r="15" spans="3:9" ht="19.5" customHeight="1" x14ac:dyDescent="0.25">
      <c r="C15" s="16">
        <v>10</v>
      </c>
      <c r="D15" s="17"/>
      <c r="E15" s="17"/>
      <c r="F15" s="21"/>
      <c r="G15" s="18"/>
    </row>
    <row r="16" spans="3:9" ht="19.5" customHeight="1" x14ac:dyDescent="0.25">
      <c r="C16" s="16">
        <v>11</v>
      </c>
      <c r="D16" s="17"/>
      <c r="E16" s="17"/>
      <c r="F16" s="21"/>
      <c r="G16" s="18"/>
    </row>
    <row r="17" spans="3:7" ht="19.5" customHeight="1" x14ac:dyDescent="0.25">
      <c r="C17" s="16">
        <v>12</v>
      </c>
      <c r="D17" s="17"/>
      <c r="E17" s="17"/>
      <c r="F17" s="21"/>
      <c r="G17" s="18"/>
    </row>
    <row r="18" spans="3:7" ht="19.5" customHeight="1" x14ac:dyDescent="0.25">
      <c r="C18" s="16">
        <v>13</v>
      </c>
      <c r="D18" s="17"/>
      <c r="E18" s="17"/>
      <c r="F18" s="21"/>
      <c r="G18" s="18"/>
    </row>
    <row r="19" spans="3:7" ht="19.5" customHeight="1" x14ac:dyDescent="0.25">
      <c r="C19" s="16">
        <v>14</v>
      </c>
      <c r="D19" s="17"/>
      <c r="E19" s="17"/>
      <c r="F19" s="21"/>
      <c r="G19" s="18"/>
    </row>
    <row r="20" spans="3:7" ht="19.5" customHeight="1" x14ac:dyDescent="0.25">
      <c r="C20" s="16">
        <v>15</v>
      </c>
      <c r="D20" s="17"/>
      <c r="E20" s="17"/>
      <c r="F20" s="21"/>
      <c r="G20" s="18"/>
    </row>
    <row r="21" spans="3:7" ht="19.5" customHeight="1" x14ac:dyDescent="0.25">
      <c r="C21" s="16">
        <v>16</v>
      </c>
      <c r="D21" s="17"/>
      <c r="E21" s="17"/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15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E6" sqref="E6:E21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18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16</v>
      </c>
      <c r="D2" s="54" t="str">
        <f>"Issue Qty:  "&amp;COUNTIF('Inv. Issue'!$F$4:$F$103,"*es-06*")</f>
        <v>Issue Qty:  0</v>
      </c>
      <c r="E2" s="54" t="str">
        <f>"Temp Issue:  "&amp;COUNTIFS('Temp. Issue'!$G$4:$G$103,"*es-06*",'Temp. Issue'!$K$4:$K$103,"Return")</f>
        <v>Temp Issue:  0</v>
      </c>
      <c r="F2" s="54" t="str">
        <f>"Salvage:  "&amp;COUNTIF(Salvage!$E$4:$E$88,"*es-06*")</f>
        <v>Salvage:  0</v>
      </c>
      <c r="G2" s="55" t="str">
        <f>"Balance:  "&amp;COUNTA($D$6:$D$105)-COUNTIF('Inv. Issue'!$F$4:$F$103,"*es-06*")-COUNTIF('Temp. Issue'!$G$4:$G$103,"*es-06*")-COUNTIF(Salvage!$E$4:$E$88,"*es-06*")</f>
        <v>Balance:  16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61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62</v>
      </c>
      <c r="E6" s="17" t="s">
        <v>275</v>
      </c>
      <c r="F6" s="21"/>
      <c r="G6" s="18"/>
    </row>
    <row r="7" spans="3:9" ht="19.5" customHeight="1" x14ac:dyDescent="0.25">
      <c r="C7" s="51">
        <v>2</v>
      </c>
      <c r="D7" s="17" t="s">
        <v>63</v>
      </c>
      <c r="E7" s="17" t="s">
        <v>275</v>
      </c>
      <c r="F7" s="21"/>
      <c r="G7" s="18"/>
    </row>
    <row r="8" spans="3:9" ht="19.5" customHeight="1" x14ac:dyDescent="0.25">
      <c r="C8" s="16">
        <v>3</v>
      </c>
      <c r="D8" s="17" t="s">
        <v>64</v>
      </c>
      <c r="E8" s="17" t="s">
        <v>275</v>
      </c>
      <c r="F8" s="21"/>
      <c r="G8" s="18"/>
    </row>
    <row r="9" spans="3:9" ht="19.5" customHeight="1" x14ac:dyDescent="0.25">
      <c r="C9" s="16">
        <v>4</v>
      </c>
      <c r="D9" s="17" t="s">
        <v>65</v>
      </c>
      <c r="E9" s="17" t="s">
        <v>275</v>
      </c>
      <c r="F9" s="21"/>
      <c r="G9" s="18"/>
    </row>
    <row r="10" spans="3:9" ht="19.5" customHeight="1" x14ac:dyDescent="0.25">
      <c r="C10" s="16">
        <v>5</v>
      </c>
      <c r="D10" s="17" t="s">
        <v>263</v>
      </c>
      <c r="E10" s="17" t="s">
        <v>275</v>
      </c>
      <c r="F10" s="21"/>
      <c r="G10" s="18"/>
    </row>
    <row r="11" spans="3:9" ht="19.5" customHeight="1" x14ac:dyDescent="0.25">
      <c r="C11" s="16">
        <v>6</v>
      </c>
      <c r="D11" s="17" t="s">
        <v>264</v>
      </c>
      <c r="E11" s="17" t="s">
        <v>275</v>
      </c>
      <c r="F11" s="21"/>
      <c r="G11" s="18"/>
    </row>
    <row r="12" spans="3:9" ht="19.5" customHeight="1" x14ac:dyDescent="0.25">
      <c r="C12" s="16">
        <v>7</v>
      </c>
      <c r="D12" s="17" t="s">
        <v>265</v>
      </c>
      <c r="E12" s="17" t="s">
        <v>275</v>
      </c>
      <c r="F12" s="21"/>
      <c r="G12" s="18"/>
    </row>
    <row r="13" spans="3:9" ht="19.5" customHeight="1" x14ac:dyDescent="0.25">
      <c r="C13" s="16">
        <v>8</v>
      </c>
      <c r="D13" s="17" t="s">
        <v>266</v>
      </c>
      <c r="E13" s="17" t="s">
        <v>275</v>
      </c>
      <c r="F13" s="21"/>
      <c r="G13" s="18"/>
    </row>
    <row r="14" spans="3:9" ht="19.5" customHeight="1" x14ac:dyDescent="0.25">
      <c r="C14" s="16">
        <v>9</v>
      </c>
      <c r="D14" s="17" t="s">
        <v>267</v>
      </c>
      <c r="E14" s="17" t="s">
        <v>275</v>
      </c>
      <c r="F14" s="21"/>
      <c r="G14" s="18"/>
    </row>
    <row r="15" spans="3:9" ht="19.5" customHeight="1" x14ac:dyDescent="0.25">
      <c r="C15" s="16">
        <v>10</v>
      </c>
      <c r="D15" s="17" t="s">
        <v>268</v>
      </c>
      <c r="E15" s="17" t="s">
        <v>275</v>
      </c>
      <c r="F15" s="21"/>
      <c r="G15" s="18"/>
    </row>
    <row r="16" spans="3:9" ht="19.5" customHeight="1" x14ac:dyDescent="0.25">
      <c r="C16" s="16">
        <v>11</v>
      </c>
      <c r="D16" s="17" t="s">
        <v>269</v>
      </c>
      <c r="E16" s="17" t="s">
        <v>275</v>
      </c>
      <c r="F16" s="21"/>
      <c r="G16" s="18"/>
    </row>
    <row r="17" spans="3:7" ht="19.5" customHeight="1" x14ac:dyDescent="0.25">
      <c r="C17" s="16">
        <v>12</v>
      </c>
      <c r="D17" s="17" t="s">
        <v>270</v>
      </c>
      <c r="E17" s="17" t="s">
        <v>275</v>
      </c>
      <c r="F17" s="21"/>
      <c r="G17" s="18"/>
    </row>
    <row r="18" spans="3:7" ht="19.5" customHeight="1" x14ac:dyDescent="0.25">
      <c r="C18" s="16">
        <v>13</v>
      </c>
      <c r="D18" s="17" t="s">
        <v>271</v>
      </c>
      <c r="E18" s="17" t="s">
        <v>275</v>
      </c>
      <c r="F18" s="21"/>
      <c r="G18" s="18"/>
    </row>
    <row r="19" spans="3:7" ht="19.5" customHeight="1" x14ac:dyDescent="0.25">
      <c r="C19" s="16">
        <v>14</v>
      </c>
      <c r="D19" s="17" t="s">
        <v>272</v>
      </c>
      <c r="E19" s="17" t="s">
        <v>275</v>
      </c>
      <c r="F19" s="21"/>
      <c r="G19" s="18"/>
    </row>
    <row r="20" spans="3:7" ht="19.5" customHeight="1" x14ac:dyDescent="0.25">
      <c r="C20" s="16">
        <v>15</v>
      </c>
      <c r="D20" s="17" t="s">
        <v>273</v>
      </c>
      <c r="E20" s="17" t="s">
        <v>275</v>
      </c>
      <c r="F20" s="21"/>
      <c r="G20" s="18"/>
    </row>
    <row r="21" spans="3:7" ht="19.5" customHeight="1" x14ac:dyDescent="0.25">
      <c r="C21" s="16">
        <v>16</v>
      </c>
      <c r="D21" s="17" t="s">
        <v>274</v>
      </c>
      <c r="E21" s="17" t="s">
        <v>275</v>
      </c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14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E7" sqref="E7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18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2</v>
      </c>
      <c r="D2" s="54" t="str">
        <f>"Issue Qty:  "&amp;COUNTIF('Inv. Issue'!$F$4:$F$103,"*es-07*")</f>
        <v>Issue Qty:  0</v>
      </c>
      <c r="E2" s="54" t="str">
        <f>"Temp Issue:  "&amp;COUNTIFS('Temp. Issue'!$G$4:$G$103,"*es-07*",'Temp. Issue'!$K$4:$K$103,"Return")</f>
        <v>Temp Issue:  0</v>
      </c>
      <c r="F2" s="54" t="str">
        <f>"Salvage:  "&amp;COUNTIF(Salvage!$E$4:$E$88,"*es-07*")</f>
        <v>Salvage:  0</v>
      </c>
      <c r="G2" s="55" t="str">
        <f>"Balance:  "&amp;COUNTA($D$6:$D$105)-COUNTIF('Inv. Issue'!$F$4:$F$103,"*es-07*")-COUNTIF('Temp. Issue'!$G$4:$G$103,"*es-07*")-COUNTIF(Salvage!$E$4:$E$88,"*es-07*")</f>
        <v>Balance:  2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66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67</v>
      </c>
      <c r="E6" s="17"/>
      <c r="F6" s="21"/>
      <c r="G6" s="18"/>
    </row>
    <row r="7" spans="3:9" ht="19.5" customHeight="1" x14ac:dyDescent="0.25">
      <c r="C7" s="51">
        <v>2</v>
      </c>
      <c r="D7" s="17" t="s">
        <v>68</v>
      </c>
      <c r="E7" s="52"/>
      <c r="F7" s="21"/>
      <c r="G7" s="18"/>
    </row>
    <row r="8" spans="3:9" ht="19.5" customHeight="1" x14ac:dyDescent="0.25">
      <c r="C8" s="16">
        <v>3</v>
      </c>
      <c r="D8" s="17"/>
      <c r="E8" s="17"/>
      <c r="F8" s="21"/>
      <c r="G8" s="18"/>
    </row>
    <row r="9" spans="3:9" ht="19.5" customHeight="1" x14ac:dyDescent="0.25">
      <c r="C9" s="16">
        <v>4</v>
      </c>
      <c r="D9" s="17"/>
      <c r="E9" s="17"/>
      <c r="F9" s="21"/>
      <c r="G9" s="18"/>
    </row>
    <row r="10" spans="3:9" ht="19.5" customHeight="1" x14ac:dyDescent="0.25">
      <c r="C10" s="16">
        <v>5</v>
      </c>
      <c r="D10" s="17"/>
      <c r="E10" s="17"/>
      <c r="F10" s="21"/>
      <c r="G10" s="18"/>
    </row>
    <row r="11" spans="3:9" ht="19.5" customHeight="1" x14ac:dyDescent="0.25">
      <c r="C11" s="16">
        <v>6</v>
      </c>
      <c r="D11" s="17"/>
      <c r="E11" s="17"/>
      <c r="F11" s="21"/>
      <c r="G11" s="18"/>
    </row>
    <row r="12" spans="3:9" ht="19.5" customHeight="1" x14ac:dyDescent="0.25">
      <c r="C12" s="16">
        <v>7</v>
      </c>
      <c r="D12" s="17"/>
      <c r="E12" s="17"/>
      <c r="F12" s="21"/>
      <c r="G12" s="18"/>
    </row>
    <row r="13" spans="3:9" ht="19.5" customHeight="1" x14ac:dyDescent="0.25">
      <c r="C13" s="16">
        <v>8</v>
      </c>
      <c r="D13" s="17"/>
      <c r="E13" s="17"/>
      <c r="F13" s="21"/>
      <c r="G13" s="18"/>
    </row>
    <row r="14" spans="3:9" ht="19.5" customHeight="1" x14ac:dyDescent="0.25">
      <c r="C14" s="16">
        <v>9</v>
      </c>
      <c r="D14" s="17"/>
      <c r="E14" s="17"/>
      <c r="F14" s="21"/>
      <c r="G14" s="18"/>
    </row>
    <row r="15" spans="3:9" ht="19.5" customHeight="1" x14ac:dyDescent="0.25">
      <c r="C15" s="16">
        <v>10</v>
      </c>
      <c r="D15" s="17"/>
      <c r="E15" s="17"/>
      <c r="F15" s="21"/>
      <c r="G15" s="18"/>
    </row>
    <row r="16" spans="3:9" ht="19.5" customHeight="1" x14ac:dyDescent="0.25">
      <c r="C16" s="16">
        <v>11</v>
      </c>
      <c r="D16" s="17"/>
      <c r="E16" s="17"/>
      <c r="F16" s="21"/>
      <c r="G16" s="18"/>
    </row>
    <row r="17" spans="3:7" ht="19.5" customHeight="1" x14ac:dyDescent="0.25">
      <c r="C17" s="16">
        <v>12</v>
      </c>
      <c r="D17" s="17"/>
      <c r="E17" s="17"/>
      <c r="F17" s="21"/>
      <c r="G17" s="18"/>
    </row>
    <row r="18" spans="3:7" ht="19.5" customHeight="1" x14ac:dyDescent="0.25">
      <c r="C18" s="16">
        <v>13</v>
      </c>
      <c r="D18" s="17"/>
      <c r="E18" s="17"/>
      <c r="F18" s="21"/>
      <c r="G18" s="18"/>
    </row>
    <row r="19" spans="3:7" ht="19.5" customHeight="1" x14ac:dyDescent="0.25">
      <c r="C19" s="16">
        <v>14</v>
      </c>
      <c r="D19" s="17"/>
      <c r="E19" s="17"/>
      <c r="F19" s="21"/>
      <c r="G19" s="18"/>
    </row>
    <row r="20" spans="3:7" ht="19.5" customHeight="1" x14ac:dyDescent="0.25">
      <c r="C20" s="16">
        <v>15</v>
      </c>
      <c r="D20" s="17"/>
      <c r="E20" s="17"/>
      <c r="F20" s="21"/>
      <c r="G20" s="18"/>
    </row>
    <row r="21" spans="3:7" ht="19.5" customHeight="1" x14ac:dyDescent="0.25">
      <c r="C21" s="16">
        <v>16</v>
      </c>
      <c r="D21" s="17"/>
      <c r="E21" s="17"/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13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F9" sqref="F9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18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2</v>
      </c>
      <c r="D2" s="54" t="str">
        <f>"Issue Qty:  "&amp;COUNTIF('Inv. Issue'!$F$4:$F$103,"*es-08*")</f>
        <v>Issue Qty:  0</v>
      </c>
      <c r="E2" s="54" t="str">
        <f>"Temp Issue:  "&amp;COUNTIFS('Temp. Issue'!$G$4:$G$103,"*es-08*",'Temp. Issue'!$K$4:$K$103,"Return")</f>
        <v>Temp Issue:  0</v>
      </c>
      <c r="F2" s="54" t="str">
        <f>"Salvage:  "&amp;COUNTIF(Salvage!$E$4:$E$88,"*es-08*")</f>
        <v>Salvage:  0</v>
      </c>
      <c r="G2" s="55" t="str">
        <f>"Balance:  "&amp;COUNTA($D$6:$D$105)-COUNTIF('Inv. Issue'!$F$4:$F$103,"*es-08*")-COUNTIF('Temp. Issue'!$G$4:$G$103,"*es-08*")-COUNTIF(Salvage!$E$4:$E$88,"*es-08*")</f>
        <v>Balance:  2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70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71</v>
      </c>
      <c r="E6" s="17" t="s">
        <v>244</v>
      </c>
      <c r="F6" s="21"/>
      <c r="G6" s="71">
        <v>26366663</v>
      </c>
    </row>
    <row r="7" spans="3:9" ht="19.5" customHeight="1" x14ac:dyDescent="0.25">
      <c r="C7" s="51">
        <v>2</v>
      </c>
      <c r="D7" s="17" t="s">
        <v>72</v>
      </c>
      <c r="E7" s="52" t="s">
        <v>244</v>
      </c>
      <c r="F7" s="21"/>
      <c r="G7" s="71">
        <v>26366595</v>
      </c>
    </row>
    <row r="8" spans="3:9" ht="19.5" customHeight="1" x14ac:dyDescent="0.25">
      <c r="C8" s="16">
        <v>3</v>
      </c>
      <c r="D8" s="17"/>
      <c r="E8" s="17"/>
      <c r="F8" s="21"/>
      <c r="G8" s="18"/>
    </row>
    <row r="9" spans="3:9" ht="19.5" customHeight="1" x14ac:dyDescent="0.25">
      <c r="C9" s="16">
        <v>4</v>
      </c>
      <c r="D9" s="17"/>
      <c r="E9" s="17"/>
      <c r="F9" s="21"/>
      <c r="G9" s="18"/>
    </row>
    <row r="10" spans="3:9" ht="19.5" customHeight="1" x14ac:dyDescent="0.25">
      <c r="C10" s="16">
        <v>5</v>
      </c>
      <c r="D10" s="17"/>
      <c r="E10" s="17"/>
      <c r="F10" s="21"/>
      <c r="G10" s="18"/>
    </row>
    <row r="11" spans="3:9" ht="19.5" customHeight="1" x14ac:dyDescent="0.25">
      <c r="C11" s="16">
        <v>6</v>
      </c>
      <c r="D11" s="17"/>
      <c r="E11" s="17"/>
      <c r="F11" s="21"/>
      <c r="G11" s="18"/>
    </row>
    <row r="12" spans="3:9" ht="19.5" customHeight="1" x14ac:dyDescent="0.25">
      <c r="C12" s="16">
        <v>7</v>
      </c>
      <c r="D12" s="17"/>
      <c r="E12" s="17"/>
      <c r="F12" s="21"/>
      <c r="G12" s="18"/>
    </row>
    <row r="13" spans="3:9" ht="19.5" customHeight="1" x14ac:dyDescent="0.25">
      <c r="C13" s="16">
        <v>8</v>
      </c>
      <c r="D13" s="17"/>
      <c r="E13" s="17"/>
      <c r="F13" s="21"/>
      <c r="G13" s="18"/>
    </row>
    <row r="14" spans="3:9" ht="19.5" customHeight="1" x14ac:dyDescent="0.25">
      <c r="C14" s="16">
        <v>9</v>
      </c>
      <c r="D14" s="17"/>
      <c r="E14" s="17"/>
      <c r="F14" s="21"/>
      <c r="G14" s="18"/>
    </row>
    <row r="15" spans="3:9" ht="19.5" customHeight="1" x14ac:dyDescent="0.25">
      <c r="C15" s="16">
        <v>10</v>
      </c>
      <c r="D15" s="17"/>
      <c r="E15" s="17"/>
      <c r="F15" s="21"/>
      <c r="G15" s="18"/>
    </row>
    <row r="16" spans="3:9" ht="19.5" customHeight="1" x14ac:dyDescent="0.25">
      <c r="C16" s="16">
        <v>11</v>
      </c>
      <c r="D16" s="17"/>
      <c r="E16" s="17"/>
      <c r="F16" s="21"/>
      <c r="G16" s="18"/>
    </row>
    <row r="17" spans="3:7" ht="19.5" customHeight="1" x14ac:dyDescent="0.25">
      <c r="C17" s="16">
        <v>12</v>
      </c>
      <c r="D17" s="17"/>
      <c r="E17" s="17"/>
      <c r="F17" s="21"/>
      <c r="G17" s="18"/>
    </row>
    <row r="18" spans="3:7" ht="19.5" customHeight="1" x14ac:dyDescent="0.25">
      <c r="C18" s="16">
        <v>13</v>
      </c>
      <c r="D18" s="17"/>
      <c r="E18" s="17"/>
      <c r="F18" s="21"/>
      <c r="G18" s="18"/>
    </row>
    <row r="19" spans="3:7" ht="19.5" customHeight="1" x14ac:dyDescent="0.25">
      <c r="C19" s="16">
        <v>14</v>
      </c>
      <c r="D19" s="17"/>
      <c r="E19" s="17"/>
      <c r="F19" s="21"/>
      <c r="G19" s="18"/>
    </row>
    <row r="20" spans="3:7" ht="19.5" customHeight="1" x14ac:dyDescent="0.25">
      <c r="C20" s="16">
        <v>15</v>
      </c>
      <c r="D20" s="17"/>
      <c r="E20" s="17"/>
      <c r="F20" s="21"/>
      <c r="G20" s="18"/>
    </row>
    <row r="21" spans="3:7" ht="19.5" customHeight="1" x14ac:dyDescent="0.25">
      <c r="C21" s="16">
        <v>16</v>
      </c>
      <c r="D21" s="17"/>
      <c r="E21" s="17"/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12" priority="1"/>
    <cfRule type="duplicateValues" dxfId="11" priority="2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F15" sqref="F15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18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0</v>
      </c>
      <c r="D2" s="54" t="str">
        <f>"Issue Qty:  "&amp;COUNTIF('Inv. Issue'!$F$4:$F$103,"*es-09*")</f>
        <v>Issue Qty:  0</v>
      </c>
      <c r="E2" s="54" t="str">
        <f>"Temp Issue:  "&amp;COUNTIFS('Temp. Issue'!$G$4:$G$103,"*es-09*",'Temp. Issue'!$K$4:$K$103,"Return")</f>
        <v>Temp Issue:  0</v>
      </c>
      <c r="F2" s="54" t="str">
        <f>"Salvage:  "&amp;COUNTIF(Salvage!$E$4:$E$88,"*es-09*")</f>
        <v>Salvage:  0</v>
      </c>
      <c r="G2" s="55" t="str">
        <f>"Balance:  "&amp;COUNTA($D$6:$D$105)-COUNTIF('Inv. Issue'!$F$4:$F$103,"*es-09*")-COUNTIF('Temp. Issue'!$G$4:$G$103,"*es-09*")-COUNTIF(Salvage!$E$4:$E$88,"*es-09*")</f>
        <v>Balance:  0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78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/>
      <c r="E6" s="17"/>
      <c r="F6" s="21"/>
      <c r="G6" s="18"/>
    </row>
    <row r="7" spans="3:9" ht="19.5" customHeight="1" x14ac:dyDescent="0.25">
      <c r="C7" s="51">
        <v>2</v>
      </c>
      <c r="D7" s="17"/>
      <c r="E7" s="52"/>
      <c r="F7" s="21"/>
      <c r="G7" s="18"/>
    </row>
    <row r="8" spans="3:9" ht="19.5" customHeight="1" x14ac:dyDescent="0.25">
      <c r="C8" s="16">
        <v>3</v>
      </c>
      <c r="D8" s="17"/>
      <c r="E8" s="17"/>
      <c r="F8" s="21"/>
      <c r="G8" s="18"/>
    </row>
    <row r="9" spans="3:9" ht="19.5" customHeight="1" x14ac:dyDescent="0.25">
      <c r="C9" s="16">
        <v>4</v>
      </c>
      <c r="D9" s="17"/>
      <c r="E9" s="17"/>
      <c r="F9" s="21"/>
      <c r="G9" s="18"/>
    </row>
    <row r="10" spans="3:9" ht="19.5" customHeight="1" x14ac:dyDescent="0.25">
      <c r="C10" s="16">
        <v>5</v>
      </c>
      <c r="D10" s="17"/>
      <c r="E10" s="17"/>
      <c r="F10" s="21"/>
      <c r="G10" s="18"/>
    </row>
    <row r="11" spans="3:9" ht="19.5" customHeight="1" x14ac:dyDescent="0.25">
      <c r="C11" s="16">
        <v>6</v>
      </c>
      <c r="D11" s="17"/>
      <c r="E11" s="17"/>
      <c r="F11" s="21"/>
      <c r="G11" s="18"/>
    </row>
    <row r="12" spans="3:9" ht="19.5" customHeight="1" x14ac:dyDescent="0.25">
      <c r="C12" s="16">
        <v>7</v>
      </c>
      <c r="D12" s="17"/>
      <c r="E12" s="17"/>
      <c r="F12" s="21"/>
      <c r="G12" s="18"/>
    </row>
    <row r="13" spans="3:9" ht="19.5" customHeight="1" x14ac:dyDescent="0.25">
      <c r="C13" s="16">
        <v>8</v>
      </c>
      <c r="D13" s="17"/>
      <c r="E13" s="17"/>
      <c r="F13" s="21"/>
      <c r="G13" s="18"/>
    </row>
    <row r="14" spans="3:9" ht="19.5" customHeight="1" x14ac:dyDescent="0.25">
      <c r="C14" s="16">
        <v>9</v>
      </c>
      <c r="D14" s="17"/>
      <c r="E14" s="17"/>
      <c r="F14" s="21"/>
      <c r="G14" s="18"/>
    </row>
    <row r="15" spans="3:9" ht="19.5" customHeight="1" x14ac:dyDescent="0.25">
      <c r="C15" s="16">
        <v>10</v>
      </c>
      <c r="D15" s="17"/>
      <c r="E15" s="17"/>
      <c r="F15" s="21"/>
      <c r="G15" s="18"/>
    </row>
    <row r="16" spans="3:9" ht="19.5" customHeight="1" x14ac:dyDescent="0.25">
      <c r="C16" s="16">
        <v>11</v>
      </c>
      <c r="D16" s="17"/>
      <c r="E16" s="17"/>
      <c r="F16" s="21"/>
      <c r="G16" s="18"/>
    </row>
    <row r="17" spans="3:7" ht="19.5" customHeight="1" x14ac:dyDescent="0.25">
      <c r="C17" s="16">
        <v>12</v>
      </c>
      <c r="D17" s="17"/>
      <c r="E17" s="17"/>
      <c r="F17" s="21"/>
      <c r="G17" s="18"/>
    </row>
    <row r="18" spans="3:7" ht="19.5" customHeight="1" x14ac:dyDescent="0.25">
      <c r="C18" s="16">
        <v>13</v>
      </c>
      <c r="D18" s="17"/>
      <c r="E18" s="17"/>
      <c r="F18" s="21"/>
      <c r="G18" s="18"/>
    </row>
    <row r="19" spans="3:7" ht="19.5" customHeight="1" x14ac:dyDescent="0.25">
      <c r="C19" s="16">
        <v>14</v>
      </c>
      <c r="D19" s="17"/>
      <c r="E19" s="17"/>
      <c r="F19" s="21"/>
      <c r="G19" s="18"/>
    </row>
    <row r="20" spans="3:7" ht="19.5" customHeight="1" x14ac:dyDescent="0.25">
      <c r="C20" s="16">
        <v>15</v>
      </c>
      <c r="D20" s="17"/>
      <c r="E20" s="17"/>
      <c r="F20" s="21"/>
      <c r="G20" s="18"/>
    </row>
    <row r="21" spans="3:7" ht="19.5" customHeight="1" x14ac:dyDescent="0.25">
      <c r="C21" s="16">
        <v>16</v>
      </c>
      <c r="D21" s="17"/>
      <c r="E21" s="17"/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10" priority="1"/>
    <cfRule type="duplicateValues" dxfId="9" priority="2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D6" sqref="D6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29.140625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6</v>
      </c>
      <c r="D2" s="54" t="str">
        <f>"Issue Qty:  "&amp;COUNTIF('Inv. Issue'!$F$4:$F$103,"*es-10*")</f>
        <v>Issue Qty:  0</v>
      </c>
      <c r="E2" s="54" t="str">
        <f>"Temp Issue:  "&amp;COUNTIFS('Temp. Issue'!$G$4:$G$103,"*es-10*",'Temp. Issue'!$K$4:$K$103,"Return")</f>
        <v>Temp Issue:  0</v>
      </c>
      <c r="F2" s="54" t="str">
        <f>"Salvage:  "&amp;COUNTIF(Salvage!$E$4:$E$88,"*es-10*")</f>
        <v>Salvage:  0</v>
      </c>
      <c r="G2" s="55" t="str">
        <f>"Balance:  "&amp;COUNTA($D$6:$D$105)-COUNTIF('Inv. Issue'!$F$4:$F$103,"*es-10*")-COUNTIF('Temp. Issue'!$G$4:$G$103,"*es-10*")-COUNTIF(Salvage!$E$4:$E$88,"*es-10*")</f>
        <v>Balance:  6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83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79</v>
      </c>
      <c r="E6" s="17" t="s">
        <v>245</v>
      </c>
      <c r="F6" s="21">
        <v>44194</v>
      </c>
      <c r="G6" s="72">
        <v>2205068003799</v>
      </c>
      <c r="H6" t="s">
        <v>259</v>
      </c>
    </row>
    <row r="7" spans="3:9" ht="19.5" customHeight="1" x14ac:dyDescent="0.25">
      <c r="C7" s="51">
        <v>2</v>
      </c>
      <c r="D7" s="17" t="s">
        <v>80</v>
      </c>
      <c r="E7" s="17" t="s">
        <v>246</v>
      </c>
      <c r="F7" s="21"/>
      <c r="G7" s="72" t="s">
        <v>247</v>
      </c>
      <c r="H7" t="s">
        <v>258</v>
      </c>
    </row>
    <row r="8" spans="3:9" ht="19.5" customHeight="1" x14ac:dyDescent="0.25">
      <c r="C8" s="16">
        <v>3</v>
      </c>
      <c r="D8" s="17" t="s">
        <v>81</v>
      </c>
      <c r="E8" s="17" t="s">
        <v>249</v>
      </c>
      <c r="F8" s="21"/>
      <c r="G8" s="72" t="s">
        <v>250</v>
      </c>
      <c r="H8" t="s">
        <v>257</v>
      </c>
    </row>
    <row r="9" spans="3:9" ht="19.5" customHeight="1" x14ac:dyDescent="0.25">
      <c r="C9" s="16">
        <v>4</v>
      </c>
      <c r="D9" s="17" t="s">
        <v>82</v>
      </c>
      <c r="E9" s="17" t="s">
        <v>251</v>
      </c>
      <c r="F9" s="21"/>
      <c r="G9" s="72" t="s">
        <v>252</v>
      </c>
      <c r="H9" t="s">
        <v>258</v>
      </c>
    </row>
    <row r="10" spans="3:9" ht="19.5" customHeight="1" x14ac:dyDescent="0.25">
      <c r="C10" s="16">
        <v>5</v>
      </c>
      <c r="D10" s="17" t="s">
        <v>253</v>
      </c>
      <c r="E10" s="17" t="s">
        <v>255</v>
      </c>
      <c r="F10" s="21"/>
      <c r="G10" s="72" t="s">
        <v>256</v>
      </c>
      <c r="H10" t="s">
        <v>257</v>
      </c>
    </row>
    <row r="11" spans="3:9" ht="19.5" customHeight="1" x14ac:dyDescent="0.25">
      <c r="C11" s="16">
        <v>6</v>
      </c>
      <c r="D11" s="17" t="s">
        <v>254</v>
      </c>
      <c r="E11" s="17" t="s">
        <v>260</v>
      </c>
      <c r="F11" s="21"/>
      <c r="G11" s="72" t="s">
        <v>261</v>
      </c>
      <c r="H11" t="s">
        <v>262</v>
      </c>
    </row>
    <row r="12" spans="3:9" ht="19.5" customHeight="1" x14ac:dyDescent="0.25">
      <c r="C12" s="16">
        <v>7</v>
      </c>
      <c r="D12" s="17"/>
      <c r="E12" s="17"/>
      <c r="F12" s="21"/>
      <c r="G12" s="72"/>
    </row>
    <row r="13" spans="3:9" ht="19.5" customHeight="1" x14ac:dyDescent="0.25">
      <c r="C13" s="16">
        <v>8</v>
      </c>
      <c r="D13" s="17"/>
      <c r="E13" s="17"/>
      <c r="F13" s="21"/>
      <c r="G13" s="72"/>
    </row>
    <row r="14" spans="3:9" ht="19.5" customHeight="1" x14ac:dyDescent="0.25">
      <c r="C14" s="16">
        <v>9</v>
      </c>
      <c r="D14" s="17"/>
      <c r="E14" s="17"/>
      <c r="F14" s="21"/>
      <c r="G14" s="72"/>
    </row>
    <row r="15" spans="3:9" ht="19.5" customHeight="1" x14ac:dyDescent="0.25">
      <c r="C15" s="16">
        <v>10</v>
      </c>
      <c r="D15" s="17"/>
      <c r="E15" s="17"/>
      <c r="F15" s="21"/>
      <c r="G15" s="72"/>
    </row>
    <row r="16" spans="3:9" ht="19.5" customHeight="1" x14ac:dyDescent="0.25">
      <c r="C16" s="16">
        <v>11</v>
      </c>
      <c r="D16" s="17"/>
      <c r="E16" s="17"/>
      <c r="F16" s="21"/>
      <c r="G16" s="72"/>
    </row>
    <row r="17" spans="3:7" ht="19.5" customHeight="1" x14ac:dyDescent="0.25">
      <c r="C17" s="16">
        <v>12</v>
      </c>
      <c r="D17" s="17"/>
      <c r="E17" s="17"/>
      <c r="F17" s="21"/>
      <c r="G17" s="72"/>
    </row>
    <row r="18" spans="3:7" ht="19.5" customHeight="1" x14ac:dyDescent="0.25">
      <c r="C18" s="16">
        <v>13</v>
      </c>
      <c r="D18" s="17"/>
      <c r="E18" s="17"/>
      <c r="F18" s="21"/>
      <c r="G18" s="72"/>
    </row>
    <row r="19" spans="3:7" ht="19.5" customHeight="1" x14ac:dyDescent="0.25">
      <c r="C19" s="16">
        <v>14</v>
      </c>
      <c r="D19" s="17"/>
      <c r="E19" s="17"/>
      <c r="F19" s="21"/>
      <c r="G19" s="72"/>
    </row>
    <row r="20" spans="3:7" ht="19.5" customHeight="1" x14ac:dyDescent="0.25">
      <c r="C20" s="16">
        <v>15</v>
      </c>
      <c r="D20" s="17"/>
      <c r="E20" s="17"/>
      <c r="F20" s="21"/>
      <c r="G20" s="72"/>
    </row>
    <row r="21" spans="3:7" ht="19.5" customHeight="1" x14ac:dyDescent="0.25">
      <c r="C21" s="16">
        <v>16</v>
      </c>
      <c r="D21" s="17"/>
      <c r="E21" s="17"/>
      <c r="F21" s="21"/>
      <c r="G21" s="72"/>
    </row>
    <row r="22" spans="3:7" ht="19.5" customHeight="1" x14ac:dyDescent="0.25">
      <c r="C22" s="16">
        <v>17</v>
      </c>
      <c r="D22" s="17"/>
      <c r="E22" s="17"/>
      <c r="F22" s="21"/>
      <c r="G22" s="73"/>
    </row>
    <row r="23" spans="3:7" ht="19.5" customHeight="1" x14ac:dyDescent="0.25">
      <c r="C23" s="16">
        <v>18</v>
      </c>
      <c r="D23" s="17"/>
      <c r="E23" s="17"/>
      <c r="F23" s="21"/>
      <c r="G23" s="73"/>
    </row>
    <row r="24" spans="3:7" ht="19.5" customHeight="1" x14ac:dyDescent="0.25">
      <c r="C24" s="16">
        <v>19</v>
      </c>
      <c r="D24" s="17"/>
      <c r="E24" s="17"/>
      <c r="F24" s="21"/>
      <c r="G24" s="73"/>
    </row>
    <row r="25" spans="3:7" ht="19.5" customHeight="1" x14ac:dyDescent="0.25">
      <c r="C25" s="16">
        <v>20</v>
      </c>
      <c r="D25" s="17"/>
      <c r="E25" s="17"/>
      <c r="F25" s="21"/>
      <c r="G25" s="73"/>
    </row>
    <row r="26" spans="3:7" ht="19.5" customHeight="1" x14ac:dyDescent="0.25">
      <c r="C26" s="16">
        <v>21</v>
      </c>
      <c r="D26" s="17"/>
      <c r="E26" s="17"/>
      <c r="F26" s="21"/>
      <c r="G26" s="73"/>
    </row>
    <row r="27" spans="3:7" ht="19.5" customHeight="1" x14ac:dyDescent="0.25">
      <c r="C27" s="16">
        <v>22</v>
      </c>
      <c r="D27" s="17"/>
      <c r="E27" s="17"/>
      <c r="F27" s="21"/>
      <c r="G27" s="73"/>
    </row>
    <row r="28" spans="3:7" ht="19.5" customHeight="1" x14ac:dyDescent="0.25">
      <c r="C28" s="16">
        <v>23</v>
      </c>
      <c r="D28" s="17"/>
      <c r="E28" s="17"/>
      <c r="F28" s="21"/>
      <c r="G28" s="73"/>
    </row>
    <row r="29" spans="3:7" ht="19.5" customHeight="1" x14ac:dyDescent="0.25">
      <c r="C29" s="16">
        <v>24</v>
      </c>
      <c r="D29" s="17"/>
      <c r="E29" s="17"/>
      <c r="F29" s="21"/>
      <c r="G29" s="73"/>
    </row>
    <row r="30" spans="3:7" ht="19.5" customHeight="1" x14ac:dyDescent="0.25">
      <c r="C30" s="16">
        <v>25</v>
      </c>
      <c r="D30" s="17"/>
      <c r="E30" s="17"/>
      <c r="F30" s="21"/>
      <c r="G30" s="73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8" priority="1"/>
    <cfRule type="duplicateValues" dxfId="7" priority="2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D7" sqref="D7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29.42578125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2</v>
      </c>
      <c r="D2" s="54" t="str">
        <f>"Issue Qty:  "&amp;COUNTIF('Inv. Issue'!$F$4:$F$103,"*es-11*")</f>
        <v>Issue Qty:  0</v>
      </c>
      <c r="E2" s="54" t="str">
        <f>"Temp Issue:  "&amp;COUNTIFS('Temp. Issue'!$G$4:$G$103,"*es-11*",'Temp. Issue'!$K$4:$K$103,"Return")</f>
        <v>Temp Issue:  0</v>
      </c>
      <c r="F2" s="54" t="str">
        <f>"Salvage:  "&amp;COUNTIF(Salvage!$E$4:$E$88,"*es-11*")</f>
        <v>Salvage:  0</v>
      </c>
      <c r="G2" s="55" t="str">
        <f>"Balance:  "&amp;COUNTA($D$6:$D$105)-COUNTIF('Inv. Issue'!$F$4:$F$103,"*es-11*")-COUNTIF('Temp. Issue'!$G$4:$G$103,"*es-11*")-COUNTIF(Salvage!$E$4:$E$88,"*es-11*")</f>
        <v>Balance:  2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86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87</v>
      </c>
      <c r="E6" s="17" t="s">
        <v>240</v>
      </c>
      <c r="F6" s="21"/>
      <c r="G6" s="18" t="s">
        <v>241</v>
      </c>
    </row>
    <row r="7" spans="3:9" ht="19.5" customHeight="1" x14ac:dyDescent="0.25">
      <c r="C7" s="51">
        <v>2</v>
      </c>
      <c r="D7" s="17" t="s">
        <v>88</v>
      </c>
      <c r="E7" s="52" t="s">
        <v>242</v>
      </c>
      <c r="F7" s="21"/>
      <c r="G7" s="18" t="s">
        <v>243</v>
      </c>
    </row>
    <row r="8" spans="3:9" ht="19.5" customHeight="1" x14ac:dyDescent="0.25">
      <c r="C8" s="16">
        <v>3</v>
      </c>
      <c r="D8" s="17"/>
      <c r="E8" s="17"/>
      <c r="F8" s="21"/>
      <c r="G8" s="18"/>
    </row>
    <row r="9" spans="3:9" ht="19.5" customHeight="1" x14ac:dyDescent="0.25">
      <c r="C9" s="16">
        <v>4</v>
      </c>
      <c r="D9" s="17"/>
      <c r="E9" s="17"/>
      <c r="F9" s="21"/>
      <c r="G9" s="18"/>
    </row>
    <row r="10" spans="3:9" ht="19.5" customHeight="1" x14ac:dyDescent="0.25">
      <c r="C10" s="16">
        <v>5</v>
      </c>
      <c r="D10" s="17"/>
      <c r="E10" s="17"/>
      <c r="F10" s="21"/>
      <c r="G10" s="18"/>
    </row>
    <row r="11" spans="3:9" ht="19.5" customHeight="1" x14ac:dyDescent="0.25">
      <c r="C11" s="16">
        <v>6</v>
      </c>
      <c r="D11" s="17"/>
      <c r="E11" s="17"/>
      <c r="F11" s="21"/>
      <c r="G11" s="18"/>
    </row>
    <row r="12" spans="3:9" ht="19.5" customHeight="1" x14ac:dyDescent="0.25">
      <c r="C12" s="16">
        <v>7</v>
      </c>
      <c r="D12" s="17"/>
      <c r="E12" s="17"/>
      <c r="F12" s="21"/>
      <c r="G12" s="18"/>
    </row>
    <row r="13" spans="3:9" ht="19.5" customHeight="1" x14ac:dyDescent="0.25">
      <c r="C13" s="16">
        <v>8</v>
      </c>
      <c r="D13" s="17"/>
      <c r="E13" s="17"/>
      <c r="F13" s="21"/>
      <c r="G13" s="18"/>
    </row>
    <row r="14" spans="3:9" ht="19.5" customHeight="1" x14ac:dyDescent="0.25">
      <c r="C14" s="16">
        <v>9</v>
      </c>
      <c r="D14" s="17"/>
      <c r="E14" s="17"/>
      <c r="F14" s="21"/>
      <c r="G14" s="18"/>
    </row>
    <row r="15" spans="3:9" ht="19.5" customHeight="1" x14ac:dyDescent="0.25">
      <c r="C15" s="16">
        <v>10</v>
      </c>
      <c r="D15" s="17"/>
      <c r="E15" s="17"/>
      <c r="F15" s="21"/>
      <c r="G15" s="18"/>
    </row>
    <row r="16" spans="3:9" ht="19.5" customHeight="1" x14ac:dyDescent="0.25">
      <c r="C16" s="16">
        <v>11</v>
      </c>
      <c r="D16" s="17"/>
      <c r="E16" s="17"/>
      <c r="F16" s="21"/>
      <c r="G16" s="18"/>
    </row>
    <row r="17" spans="3:7" ht="19.5" customHeight="1" x14ac:dyDescent="0.25">
      <c r="C17" s="16">
        <v>12</v>
      </c>
      <c r="D17" s="17"/>
      <c r="E17" s="17"/>
      <c r="F17" s="21"/>
      <c r="G17" s="18"/>
    </row>
    <row r="18" spans="3:7" ht="19.5" customHeight="1" x14ac:dyDescent="0.25">
      <c r="C18" s="16">
        <v>13</v>
      </c>
      <c r="D18" s="17"/>
      <c r="E18" s="17"/>
      <c r="F18" s="21"/>
      <c r="G18" s="18"/>
    </row>
    <row r="19" spans="3:7" ht="19.5" customHeight="1" x14ac:dyDescent="0.25">
      <c r="C19" s="16">
        <v>14</v>
      </c>
      <c r="D19" s="17"/>
      <c r="E19" s="17"/>
      <c r="F19" s="21"/>
      <c r="G19" s="18"/>
    </row>
    <row r="20" spans="3:7" ht="19.5" customHeight="1" x14ac:dyDescent="0.25">
      <c r="C20" s="16">
        <v>15</v>
      </c>
      <c r="D20" s="17"/>
      <c r="E20" s="17"/>
      <c r="F20" s="21"/>
      <c r="G20" s="18"/>
    </row>
    <row r="21" spans="3:7" ht="19.5" customHeight="1" x14ac:dyDescent="0.25">
      <c r="C21" s="16">
        <v>16</v>
      </c>
      <c r="D21" s="17"/>
      <c r="E21" s="17"/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6" priority="1"/>
    <cfRule type="duplicateValues" dxfId="5" priority="2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G22" sqref="G22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18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1</v>
      </c>
      <c r="D2" s="54" t="str">
        <f>"Issue Qty:  "&amp;COUNTIF('Inv. Issue'!$F$4:$F$103,"*es-12*")</f>
        <v>Issue Qty:  0</v>
      </c>
      <c r="E2" s="54" t="str">
        <f>"Temp Issue:  "&amp;COUNTIFS('Temp. Issue'!$G$4:$G$103,"*es-12*",'Temp. Issue'!$K$4:$K$103,"Return")</f>
        <v>Temp Issue:  0</v>
      </c>
      <c r="F2" s="54" t="str">
        <f>"Salvage:  "&amp;COUNTIF(Salvage!$E$4:$E$88,"*es-12*")</f>
        <v>Salvage:  0</v>
      </c>
      <c r="G2" s="55" t="str">
        <f>"Balance:  "&amp;COUNTA($D$6:$D$105)-COUNTIF('Inv. Issue'!$F$4:$F$103,"*es-12*")-COUNTIF('Temp. Issue'!$G$4:$G$103,"*es-12*")-COUNTIF(Salvage!$E$4:$E$88,"*es-12*")</f>
        <v>Balance:  1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92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91</v>
      </c>
      <c r="E6" s="17"/>
      <c r="F6" s="21"/>
      <c r="G6" s="18"/>
    </row>
    <row r="7" spans="3:9" ht="19.5" customHeight="1" x14ac:dyDescent="0.25">
      <c r="C7" s="51">
        <v>2</v>
      </c>
      <c r="D7" s="17"/>
      <c r="E7" s="52"/>
      <c r="F7" s="21"/>
      <c r="G7" s="18"/>
    </row>
    <row r="8" spans="3:9" ht="19.5" customHeight="1" x14ac:dyDescent="0.25">
      <c r="C8" s="16">
        <v>3</v>
      </c>
      <c r="D8" s="17"/>
      <c r="E8" s="17"/>
      <c r="F8" s="21"/>
      <c r="G8" s="18"/>
    </row>
    <row r="9" spans="3:9" ht="19.5" customHeight="1" x14ac:dyDescent="0.25">
      <c r="C9" s="16">
        <v>4</v>
      </c>
      <c r="D9" s="17"/>
      <c r="E9" s="17"/>
      <c r="F9" s="21"/>
      <c r="G9" s="18"/>
    </row>
    <row r="10" spans="3:9" ht="19.5" customHeight="1" x14ac:dyDescent="0.25">
      <c r="C10" s="16">
        <v>5</v>
      </c>
      <c r="D10" s="17"/>
      <c r="E10" s="17"/>
      <c r="F10" s="21"/>
      <c r="G10" s="18"/>
    </row>
    <row r="11" spans="3:9" ht="19.5" customHeight="1" x14ac:dyDescent="0.25">
      <c r="C11" s="16">
        <v>6</v>
      </c>
      <c r="D11" s="17"/>
      <c r="E11" s="17"/>
      <c r="F11" s="21"/>
      <c r="G11" s="18"/>
    </row>
    <row r="12" spans="3:9" ht="19.5" customHeight="1" x14ac:dyDescent="0.25">
      <c r="C12" s="16">
        <v>7</v>
      </c>
      <c r="D12" s="17"/>
      <c r="E12" s="17"/>
      <c r="F12" s="21"/>
      <c r="G12" s="18"/>
    </row>
    <row r="13" spans="3:9" ht="19.5" customHeight="1" x14ac:dyDescent="0.25">
      <c r="C13" s="16">
        <v>8</v>
      </c>
      <c r="D13" s="17"/>
      <c r="E13" s="17"/>
      <c r="F13" s="21"/>
      <c r="G13" s="18"/>
    </row>
    <row r="14" spans="3:9" ht="19.5" customHeight="1" x14ac:dyDescent="0.25">
      <c r="C14" s="16">
        <v>9</v>
      </c>
      <c r="D14" s="17"/>
      <c r="E14" s="17"/>
      <c r="F14" s="21"/>
      <c r="G14" s="18"/>
    </row>
    <row r="15" spans="3:9" ht="19.5" customHeight="1" x14ac:dyDescent="0.25">
      <c r="C15" s="16">
        <v>10</v>
      </c>
      <c r="D15" s="17"/>
      <c r="E15" s="17"/>
      <c r="F15" s="21"/>
      <c r="G15" s="18"/>
    </row>
    <row r="16" spans="3:9" ht="19.5" customHeight="1" x14ac:dyDescent="0.25">
      <c r="C16" s="16">
        <v>11</v>
      </c>
      <c r="D16" s="17"/>
      <c r="E16" s="17"/>
      <c r="F16" s="21"/>
      <c r="G16" s="18"/>
    </row>
    <row r="17" spans="3:7" ht="19.5" customHeight="1" x14ac:dyDescent="0.25">
      <c r="C17" s="16">
        <v>12</v>
      </c>
      <c r="D17" s="17"/>
      <c r="E17" s="17"/>
      <c r="F17" s="21"/>
      <c r="G17" s="18"/>
    </row>
    <row r="18" spans="3:7" ht="19.5" customHeight="1" x14ac:dyDescent="0.25">
      <c r="C18" s="16">
        <v>13</v>
      </c>
      <c r="D18" s="17"/>
      <c r="E18" s="17"/>
      <c r="F18" s="21"/>
      <c r="G18" s="18"/>
    </row>
    <row r="19" spans="3:7" ht="19.5" customHeight="1" x14ac:dyDescent="0.25">
      <c r="C19" s="16">
        <v>14</v>
      </c>
      <c r="D19" s="17"/>
      <c r="E19" s="17"/>
      <c r="F19" s="21"/>
      <c r="G19" s="18"/>
    </row>
    <row r="20" spans="3:7" ht="19.5" customHeight="1" x14ac:dyDescent="0.25">
      <c r="C20" s="16">
        <v>15</v>
      </c>
      <c r="D20" s="17"/>
      <c r="E20" s="17"/>
      <c r="F20" s="21"/>
      <c r="G20" s="18"/>
    </row>
    <row r="21" spans="3:7" ht="19.5" customHeight="1" x14ac:dyDescent="0.25">
      <c r="C21" s="16">
        <v>16</v>
      </c>
      <c r="D21" s="17"/>
      <c r="E21" s="17"/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4" priority="1"/>
    <cfRule type="duplicateValues" dxfId="3" priority="2"/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5"/>
  <sheetViews>
    <sheetView zoomScale="130" zoomScaleNormal="130" workbookViewId="0">
      <selection activeCell="G11" sqref="G11"/>
    </sheetView>
  </sheetViews>
  <sheetFormatPr defaultRowHeight="15" x14ac:dyDescent="0.25"/>
  <cols>
    <col min="2" max="2" width="11.85546875" customWidth="1"/>
    <col min="3" max="3" width="14.140625" bestFit="1" customWidth="1"/>
    <col min="4" max="4" width="18.28515625" customWidth="1"/>
    <col min="5" max="5" width="18" bestFit="1" customWidth="1"/>
    <col min="6" max="6" width="18" customWidth="1"/>
    <col min="7" max="7" width="25.42578125" customWidth="1"/>
    <col min="8" max="8" width="16.28515625" bestFit="1" customWidth="1"/>
  </cols>
  <sheetData>
    <row r="1" spans="3:9" ht="15.75" thickBot="1" x14ac:dyDescent="0.3"/>
    <row r="2" spans="3:9" ht="19.5" customHeight="1" thickBot="1" x14ac:dyDescent="0.3">
      <c r="C2" s="54" t="str">
        <f>"Total Qty:  "&amp;COUNTA($D$6:$D$105)</f>
        <v>Total Qty:  1</v>
      </c>
      <c r="D2" s="54" t="str">
        <f>"Issue Qty:  "&amp;COUNTIF('Inv. Issue'!$F$4:$F$103,"*es-11*")</f>
        <v>Issue Qty:  0</v>
      </c>
      <c r="E2" s="54" t="str">
        <f>"Temp Issue:  "&amp;COUNTIFS('Temp. Issue'!$G$4:$G$103,"*es-11*",'Temp. Issue'!$K$4:$K$103,"Return")</f>
        <v>Temp Issue:  0</v>
      </c>
      <c r="F2" s="54" t="str">
        <f>"Salvage:  "&amp;COUNTIF(Salvage!$E$4:$E$88,"*es-11*")</f>
        <v>Salvage:  0</v>
      </c>
      <c r="G2" s="55" t="str">
        <f>"Balance:  "&amp;COUNTA($D$6:$D$105)-COUNTIF('Inv. Issue'!$F$4:$F$103,"*es-11*")-COUNTIF('Temp. Issue'!$G$4:$G$103,"*es-11*")-COUNTIF(Salvage!$E$4:$E$88,"*es-11*")</f>
        <v>Balance:  1</v>
      </c>
    </row>
    <row r="3" spans="3:9" ht="3" customHeight="1" thickBot="1" x14ac:dyDescent="0.3">
      <c r="C3" s="26"/>
      <c r="D3" s="27"/>
      <c r="E3" s="26"/>
      <c r="F3" s="26"/>
    </row>
    <row r="4" spans="3:9" ht="20.25" customHeight="1" thickBot="1" x14ac:dyDescent="0.3">
      <c r="C4" s="75" t="s">
        <v>93</v>
      </c>
      <c r="D4" s="76"/>
      <c r="E4" s="76"/>
      <c r="F4" s="76"/>
      <c r="G4" s="77"/>
    </row>
    <row r="5" spans="3:9" ht="24.75" customHeight="1" x14ac:dyDescent="0.25">
      <c r="C5" s="13" t="s">
        <v>4</v>
      </c>
      <c r="D5" s="14" t="s">
        <v>84</v>
      </c>
      <c r="E5" s="14" t="s">
        <v>1</v>
      </c>
      <c r="F5" s="20" t="s">
        <v>12</v>
      </c>
      <c r="G5" s="15" t="s">
        <v>13</v>
      </c>
      <c r="I5" s="53"/>
    </row>
    <row r="6" spans="3:9" ht="19.5" customHeight="1" x14ac:dyDescent="0.25">
      <c r="C6" s="16">
        <v>1</v>
      </c>
      <c r="D6" s="17" t="s">
        <v>94</v>
      </c>
      <c r="E6" s="17" t="s">
        <v>276</v>
      </c>
      <c r="F6" s="21"/>
      <c r="G6" s="74" t="s">
        <v>277</v>
      </c>
    </row>
    <row r="7" spans="3:9" ht="19.5" customHeight="1" x14ac:dyDescent="0.25">
      <c r="C7" s="51">
        <v>2</v>
      </c>
      <c r="D7" s="17"/>
      <c r="E7" s="52"/>
      <c r="F7" s="21"/>
      <c r="G7" s="18"/>
    </row>
    <row r="8" spans="3:9" ht="19.5" customHeight="1" x14ac:dyDescent="0.25">
      <c r="C8" s="16">
        <v>3</v>
      </c>
      <c r="D8" s="17"/>
      <c r="E8" s="17"/>
      <c r="F8" s="21"/>
      <c r="G8" s="18"/>
    </row>
    <row r="9" spans="3:9" ht="19.5" customHeight="1" x14ac:dyDescent="0.25">
      <c r="C9" s="16">
        <v>4</v>
      </c>
      <c r="D9" s="17"/>
      <c r="E9" s="17"/>
      <c r="F9" s="21"/>
      <c r="G9" s="18"/>
    </row>
    <row r="10" spans="3:9" ht="19.5" customHeight="1" x14ac:dyDescent="0.25">
      <c r="C10" s="16">
        <v>5</v>
      </c>
      <c r="D10" s="17"/>
      <c r="E10" s="17"/>
      <c r="F10" s="21"/>
      <c r="G10" s="18"/>
    </row>
    <row r="11" spans="3:9" ht="19.5" customHeight="1" x14ac:dyDescent="0.25">
      <c r="C11" s="16">
        <v>6</v>
      </c>
      <c r="D11" s="17"/>
      <c r="E11" s="17"/>
      <c r="F11" s="21"/>
      <c r="G11" s="18"/>
    </row>
    <row r="12" spans="3:9" ht="19.5" customHeight="1" x14ac:dyDescent="0.25">
      <c r="C12" s="16">
        <v>7</v>
      </c>
      <c r="D12" s="17"/>
      <c r="E12" s="17"/>
      <c r="F12" s="21"/>
      <c r="G12" s="18"/>
    </row>
    <row r="13" spans="3:9" ht="19.5" customHeight="1" x14ac:dyDescent="0.25">
      <c r="C13" s="16">
        <v>8</v>
      </c>
      <c r="D13" s="17"/>
      <c r="E13" s="17"/>
      <c r="F13" s="21"/>
      <c r="G13" s="18"/>
    </row>
    <row r="14" spans="3:9" ht="19.5" customHeight="1" x14ac:dyDescent="0.25">
      <c r="C14" s="16">
        <v>9</v>
      </c>
      <c r="D14" s="17"/>
      <c r="E14" s="17"/>
      <c r="F14" s="21"/>
      <c r="G14" s="18"/>
    </row>
    <row r="15" spans="3:9" ht="19.5" customHeight="1" x14ac:dyDescent="0.25">
      <c r="C15" s="16">
        <v>10</v>
      </c>
      <c r="D15" s="17"/>
      <c r="E15" s="17"/>
      <c r="F15" s="21"/>
      <c r="G15" s="18"/>
    </row>
    <row r="16" spans="3:9" ht="19.5" customHeight="1" x14ac:dyDescent="0.25">
      <c r="C16" s="16">
        <v>11</v>
      </c>
      <c r="D16" s="17"/>
      <c r="E16" s="17"/>
      <c r="F16" s="21"/>
      <c r="G16" s="18"/>
    </row>
    <row r="17" spans="3:7" ht="19.5" customHeight="1" x14ac:dyDescent="0.25">
      <c r="C17" s="16">
        <v>12</v>
      </c>
      <c r="D17" s="17"/>
      <c r="E17" s="17"/>
      <c r="F17" s="21"/>
      <c r="G17" s="18"/>
    </row>
    <row r="18" spans="3:7" ht="19.5" customHeight="1" x14ac:dyDescent="0.25">
      <c r="C18" s="16">
        <v>13</v>
      </c>
      <c r="D18" s="17"/>
      <c r="E18" s="17"/>
      <c r="F18" s="21"/>
      <c r="G18" s="18"/>
    </row>
    <row r="19" spans="3:7" ht="19.5" customHeight="1" x14ac:dyDescent="0.25">
      <c r="C19" s="16">
        <v>14</v>
      </c>
      <c r="D19" s="17"/>
      <c r="E19" s="17"/>
      <c r="F19" s="21"/>
      <c r="G19" s="18"/>
    </row>
    <row r="20" spans="3:7" ht="19.5" customHeight="1" x14ac:dyDescent="0.25">
      <c r="C20" s="16">
        <v>15</v>
      </c>
      <c r="D20" s="17"/>
      <c r="E20" s="17"/>
      <c r="F20" s="21"/>
      <c r="G20" s="18"/>
    </row>
    <row r="21" spans="3:7" ht="19.5" customHeight="1" x14ac:dyDescent="0.25">
      <c r="C21" s="16">
        <v>16</v>
      </c>
      <c r="D21" s="17"/>
      <c r="E21" s="17"/>
      <c r="F21" s="21"/>
      <c r="G21" s="18"/>
    </row>
    <row r="22" spans="3:7" ht="19.5" customHeight="1" x14ac:dyDescent="0.25">
      <c r="C22" s="16">
        <v>17</v>
      </c>
      <c r="D22" s="17"/>
      <c r="E22" s="17"/>
      <c r="F22" s="21"/>
      <c r="G22" s="19"/>
    </row>
    <row r="23" spans="3:7" ht="19.5" customHeight="1" x14ac:dyDescent="0.25">
      <c r="C23" s="16">
        <v>18</v>
      </c>
      <c r="D23" s="17"/>
      <c r="E23" s="17"/>
      <c r="F23" s="21"/>
      <c r="G23" s="19"/>
    </row>
    <row r="24" spans="3:7" ht="19.5" customHeight="1" x14ac:dyDescent="0.25">
      <c r="C24" s="16">
        <v>19</v>
      </c>
      <c r="D24" s="17"/>
      <c r="E24" s="17"/>
      <c r="F24" s="21"/>
      <c r="G24" s="19"/>
    </row>
    <row r="25" spans="3:7" ht="19.5" customHeight="1" x14ac:dyDescent="0.25">
      <c r="C25" s="16">
        <v>20</v>
      </c>
      <c r="D25" s="17"/>
      <c r="E25" s="17"/>
      <c r="F25" s="21"/>
      <c r="G25" s="19"/>
    </row>
    <row r="26" spans="3:7" ht="19.5" customHeight="1" x14ac:dyDescent="0.25">
      <c r="C26" s="16">
        <v>21</v>
      </c>
      <c r="D26" s="17"/>
      <c r="E26" s="17"/>
      <c r="F26" s="21"/>
      <c r="G26" s="19"/>
    </row>
    <row r="27" spans="3:7" ht="19.5" customHeight="1" x14ac:dyDescent="0.25">
      <c r="C27" s="16">
        <v>22</v>
      </c>
      <c r="D27" s="17"/>
      <c r="E27" s="17"/>
      <c r="F27" s="21"/>
      <c r="G27" s="19"/>
    </row>
    <row r="28" spans="3:7" ht="19.5" customHeight="1" x14ac:dyDescent="0.25">
      <c r="C28" s="16">
        <v>23</v>
      </c>
      <c r="D28" s="17"/>
      <c r="E28" s="17"/>
      <c r="F28" s="21"/>
      <c r="G28" s="19"/>
    </row>
    <row r="29" spans="3:7" ht="19.5" customHeight="1" x14ac:dyDescent="0.25">
      <c r="C29" s="16">
        <v>24</v>
      </c>
      <c r="D29" s="17"/>
      <c r="E29" s="17"/>
      <c r="F29" s="21"/>
      <c r="G29" s="19"/>
    </row>
    <row r="30" spans="3:7" ht="19.5" customHeight="1" x14ac:dyDescent="0.25">
      <c r="C30" s="16">
        <v>25</v>
      </c>
      <c r="D30" s="17"/>
      <c r="E30" s="17"/>
      <c r="F30" s="21"/>
      <c r="G30" s="19"/>
    </row>
    <row r="31" spans="3:7" ht="15.75" x14ac:dyDescent="0.25">
      <c r="C31" s="16">
        <v>26</v>
      </c>
      <c r="D31" s="17"/>
      <c r="E31" s="17"/>
      <c r="F31" s="21"/>
      <c r="G31" s="19"/>
    </row>
    <row r="32" spans="3:7" ht="15.75" x14ac:dyDescent="0.25">
      <c r="C32" s="16">
        <v>27</v>
      </c>
      <c r="D32" s="17"/>
      <c r="E32" s="17"/>
      <c r="F32" s="21"/>
      <c r="G32" s="19"/>
    </row>
    <row r="33" spans="3:7" ht="15.75" x14ac:dyDescent="0.25">
      <c r="C33" s="16">
        <v>28</v>
      </c>
      <c r="D33" s="17"/>
      <c r="E33" s="17"/>
      <c r="F33" s="21"/>
      <c r="G33" s="19"/>
    </row>
    <row r="34" spans="3:7" ht="15.75" x14ac:dyDescent="0.25">
      <c r="C34" s="16">
        <v>29</v>
      </c>
      <c r="D34" s="17"/>
      <c r="E34" s="17"/>
      <c r="F34" s="21"/>
      <c r="G34" s="19"/>
    </row>
    <row r="35" spans="3:7" ht="15.75" x14ac:dyDescent="0.25">
      <c r="C35" s="16">
        <v>30</v>
      </c>
      <c r="D35" s="17"/>
      <c r="E35" s="17"/>
      <c r="F35" s="21"/>
      <c r="G35" s="19"/>
    </row>
    <row r="36" spans="3:7" ht="15.75" x14ac:dyDescent="0.25">
      <c r="C36" s="16">
        <v>31</v>
      </c>
      <c r="D36" s="17"/>
      <c r="E36" s="17"/>
      <c r="F36" s="21"/>
      <c r="G36" s="19"/>
    </row>
    <row r="37" spans="3:7" ht="15.75" x14ac:dyDescent="0.25">
      <c r="C37" s="16">
        <v>32</v>
      </c>
      <c r="D37" s="17"/>
      <c r="E37" s="17"/>
      <c r="F37" s="21"/>
      <c r="G37" s="19"/>
    </row>
    <row r="38" spans="3:7" ht="15.75" x14ac:dyDescent="0.25">
      <c r="C38" s="16">
        <v>33</v>
      </c>
      <c r="D38" s="17"/>
      <c r="E38" s="17"/>
      <c r="F38" s="21"/>
      <c r="G38" s="19"/>
    </row>
    <row r="39" spans="3:7" ht="15.75" x14ac:dyDescent="0.25">
      <c r="C39" s="16">
        <v>34</v>
      </c>
      <c r="D39" s="17"/>
      <c r="E39" s="17"/>
      <c r="F39" s="21"/>
      <c r="G39" s="19"/>
    </row>
    <row r="40" spans="3:7" ht="15.75" x14ac:dyDescent="0.25">
      <c r="C40" s="16">
        <v>35</v>
      </c>
      <c r="D40" s="17"/>
      <c r="E40" s="17"/>
      <c r="F40" s="21"/>
      <c r="G40" s="19"/>
    </row>
    <row r="41" spans="3:7" ht="15.75" x14ac:dyDescent="0.25">
      <c r="C41" s="16">
        <v>36</v>
      </c>
      <c r="D41" s="17"/>
      <c r="E41" s="17"/>
      <c r="F41" s="21"/>
      <c r="G41" s="19"/>
    </row>
    <row r="42" spans="3:7" ht="15.75" x14ac:dyDescent="0.25">
      <c r="C42" s="16">
        <v>37</v>
      </c>
      <c r="D42" s="17"/>
      <c r="E42" s="17"/>
      <c r="F42" s="21"/>
      <c r="G42" s="19"/>
    </row>
    <row r="43" spans="3:7" ht="15.75" x14ac:dyDescent="0.25">
      <c r="C43" s="16">
        <v>38</v>
      </c>
      <c r="D43" s="17"/>
      <c r="E43" s="17"/>
      <c r="F43" s="21"/>
      <c r="G43" s="19"/>
    </row>
    <row r="44" spans="3:7" ht="15.75" x14ac:dyDescent="0.25">
      <c r="C44" s="16">
        <v>39</v>
      </c>
      <c r="D44" s="17"/>
      <c r="E44" s="17"/>
      <c r="F44" s="21"/>
      <c r="G44" s="19"/>
    </row>
    <row r="45" spans="3:7" ht="15.75" x14ac:dyDescent="0.25">
      <c r="C45" s="16">
        <v>40</v>
      </c>
      <c r="D45" s="17"/>
      <c r="E45" s="17"/>
      <c r="F45" s="21"/>
      <c r="G45" s="19"/>
    </row>
    <row r="46" spans="3:7" ht="15.75" x14ac:dyDescent="0.25">
      <c r="C46" s="16">
        <v>41</v>
      </c>
      <c r="D46" s="17"/>
      <c r="E46" s="17"/>
      <c r="F46" s="21"/>
      <c r="G46" s="19"/>
    </row>
    <row r="47" spans="3:7" ht="15.75" x14ac:dyDescent="0.25">
      <c r="C47" s="16">
        <v>42</v>
      </c>
      <c r="D47" s="17"/>
      <c r="E47" s="17"/>
      <c r="F47" s="21"/>
      <c r="G47" s="19"/>
    </row>
    <row r="48" spans="3:7" ht="15.75" x14ac:dyDescent="0.25">
      <c r="C48" s="16">
        <v>43</v>
      </c>
      <c r="D48" s="17"/>
      <c r="E48" s="17"/>
      <c r="F48" s="21"/>
      <c r="G48" s="19"/>
    </row>
    <row r="49" spans="3:7" ht="15.75" x14ac:dyDescent="0.25">
      <c r="C49" s="16">
        <v>44</v>
      </c>
      <c r="D49" s="17"/>
      <c r="E49" s="17"/>
      <c r="F49" s="21"/>
      <c r="G49" s="19"/>
    </row>
    <row r="50" spans="3:7" ht="15.75" x14ac:dyDescent="0.25">
      <c r="C50" s="16">
        <v>45</v>
      </c>
      <c r="D50" s="17"/>
      <c r="E50" s="17"/>
      <c r="F50" s="21"/>
      <c r="G50" s="19"/>
    </row>
    <row r="51" spans="3:7" ht="15.75" x14ac:dyDescent="0.25">
      <c r="C51" s="16">
        <v>46</v>
      </c>
      <c r="D51" s="17"/>
      <c r="E51" s="17"/>
      <c r="F51" s="21"/>
      <c r="G51" s="19"/>
    </row>
    <row r="52" spans="3:7" ht="15.75" x14ac:dyDescent="0.25">
      <c r="C52" s="16">
        <v>47</v>
      </c>
      <c r="D52" s="17"/>
      <c r="E52" s="17"/>
      <c r="F52" s="21"/>
      <c r="G52" s="19"/>
    </row>
    <row r="53" spans="3:7" ht="15.75" x14ac:dyDescent="0.25">
      <c r="C53" s="16">
        <v>48</v>
      </c>
      <c r="D53" s="17"/>
      <c r="E53" s="17"/>
      <c r="F53" s="21"/>
      <c r="G53" s="19"/>
    </row>
    <row r="54" spans="3:7" ht="15.75" x14ac:dyDescent="0.25">
      <c r="C54" s="16">
        <v>49</v>
      </c>
      <c r="D54" s="17"/>
      <c r="E54" s="17"/>
      <c r="F54" s="21"/>
      <c r="G54" s="19"/>
    </row>
    <row r="55" spans="3:7" ht="15.75" x14ac:dyDescent="0.25">
      <c r="C55" s="16">
        <v>50</v>
      </c>
      <c r="D55" s="17"/>
      <c r="E55" s="17"/>
      <c r="F55" s="21"/>
      <c r="G55" s="19"/>
    </row>
    <row r="56" spans="3:7" ht="15.75" x14ac:dyDescent="0.25">
      <c r="C56" s="16">
        <v>51</v>
      </c>
      <c r="D56" s="17"/>
      <c r="E56" s="17"/>
      <c r="F56" s="21"/>
      <c r="G56" s="19"/>
    </row>
    <row r="57" spans="3:7" ht="15.75" x14ac:dyDescent="0.25">
      <c r="C57" s="16">
        <v>52</v>
      </c>
      <c r="D57" s="17"/>
      <c r="E57" s="17"/>
      <c r="F57" s="21"/>
      <c r="G57" s="19"/>
    </row>
    <row r="58" spans="3:7" ht="15.75" x14ac:dyDescent="0.25">
      <c r="C58" s="16">
        <v>53</v>
      </c>
      <c r="D58" s="17"/>
      <c r="E58" s="17"/>
      <c r="F58" s="21"/>
      <c r="G58" s="19"/>
    </row>
    <row r="59" spans="3:7" ht="15.75" x14ac:dyDescent="0.25">
      <c r="C59" s="16">
        <v>54</v>
      </c>
      <c r="D59" s="17"/>
      <c r="E59" s="17"/>
      <c r="F59" s="21"/>
      <c r="G59" s="19"/>
    </row>
    <row r="60" spans="3:7" ht="15.75" x14ac:dyDescent="0.25">
      <c r="C60" s="16">
        <v>55</v>
      </c>
      <c r="D60" s="17"/>
      <c r="E60" s="17"/>
      <c r="F60" s="21"/>
      <c r="G60" s="19"/>
    </row>
    <row r="61" spans="3:7" ht="15.75" x14ac:dyDescent="0.25">
      <c r="C61" s="16">
        <v>56</v>
      </c>
      <c r="D61" s="17"/>
      <c r="E61" s="17"/>
      <c r="F61" s="21"/>
      <c r="G61" s="19"/>
    </row>
    <row r="62" spans="3:7" ht="15.75" x14ac:dyDescent="0.25">
      <c r="C62" s="16">
        <v>57</v>
      </c>
      <c r="D62" s="17"/>
      <c r="E62" s="17"/>
      <c r="F62" s="21"/>
      <c r="G62" s="19"/>
    </row>
    <row r="63" spans="3:7" ht="15.75" x14ac:dyDescent="0.25">
      <c r="C63" s="16">
        <v>58</v>
      </c>
      <c r="D63" s="17"/>
      <c r="E63" s="17"/>
      <c r="F63" s="21"/>
      <c r="G63" s="19"/>
    </row>
    <row r="64" spans="3:7" ht="15.75" x14ac:dyDescent="0.25">
      <c r="C64" s="16">
        <v>59</v>
      </c>
      <c r="D64" s="17"/>
      <c r="E64" s="17"/>
      <c r="F64" s="21"/>
      <c r="G64" s="19"/>
    </row>
    <row r="65" spans="3:7" ht="15.75" x14ac:dyDescent="0.25">
      <c r="C65" s="16">
        <v>60</v>
      </c>
      <c r="D65" s="17"/>
      <c r="E65" s="17"/>
      <c r="F65" s="21"/>
      <c r="G65" s="19"/>
    </row>
    <row r="66" spans="3:7" ht="15.75" x14ac:dyDescent="0.25">
      <c r="C66" s="16">
        <v>61</v>
      </c>
      <c r="D66" s="17"/>
      <c r="E66" s="17"/>
      <c r="F66" s="21"/>
      <c r="G66" s="19"/>
    </row>
    <row r="67" spans="3:7" ht="15.75" x14ac:dyDescent="0.25">
      <c r="C67" s="16">
        <v>62</v>
      </c>
      <c r="D67" s="17"/>
      <c r="E67" s="17"/>
      <c r="F67" s="21"/>
      <c r="G67" s="19"/>
    </row>
    <row r="68" spans="3:7" ht="15.75" x14ac:dyDescent="0.25">
      <c r="C68" s="16">
        <v>63</v>
      </c>
      <c r="D68" s="17"/>
      <c r="E68" s="17"/>
      <c r="F68" s="21"/>
      <c r="G68" s="19"/>
    </row>
    <row r="69" spans="3:7" ht="15.75" x14ac:dyDescent="0.25">
      <c r="C69" s="16">
        <v>64</v>
      </c>
      <c r="D69" s="17"/>
      <c r="E69" s="17"/>
      <c r="F69" s="21"/>
      <c r="G69" s="19"/>
    </row>
    <row r="70" spans="3:7" ht="15.75" x14ac:dyDescent="0.25">
      <c r="C70" s="16">
        <v>65</v>
      </c>
      <c r="D70" s="17"/>
      <c r="E70" s="17"/>
      <c r="F70" s="21"/>
      <c r="G70" s="19"/>
    </row>
    <row r="71" spans="3:7" ht="15.75" x14ac:dyDescent="0.25">
      <c r="C71" s="16">
        <v>66</v>
      </c>
      <c r="D71" s="17"/>
      <c r="E71" s="17"/>
      <c r="F71" s="21"/>
      <c r="G71" s="19"/>
    </row>
    <row r="72" spans="3:7" ht="15.75" x14ac:dyDescent="0.25">
      <c r="C72" s="16">
        <v>67</v>
      </c>
      <c r="D72" s="17"/>
      <c r="E72" s="17"/>
      <c r="F72" s="21"/>
      <c r="G72" s="19"/>
    </row>
    <row r="73" spans="3:7" ht="15.75" x14ac:dyDescent="0.25">
      <c r="C73" s="16">
        <v>68</v>
      </c>
      <c r="D73" s="17"/>
      <c r="E73" s="17"/>
      <c r="F73" s="21"/>
      <c r="G73" s="19"/>
    </row>
    <row r="74" spans="3:7" ht="15.75" x14ac:dyDescent="0.25">
      <c r="C74" s="16">
        <v>69</v>
      </c>
      <c r="D74" s="17"/>
      <c r="E74" s="17"/>
      <c r="F74" s="21"/>
      <c r="G74" s="19"/>
    </row>
    <row r="75" spans="3:7" ht="15.75" x14ac:dyDescent="0.25">
      <c r="C75" s="16">
        <v>70</v>
      </c>
      <c r="D75" s="17"/>
      <c r="E75" s="17"/>
      <c r="F75" s="21"/>
      <c r="G75" s="19"/>
    </row>
    <row r="76" spans="3:7" ht="15.75" x14ac:dyDescent="0.25">
      <c r="C76" s="16">
        <v>71</v>
      </c>
      <c r="D76" s="17"/>
      <c r="E76" s="17"/>
      <c r="F76" s="21"/>
      <c r="G76" s="19"/>
    </row>
    <row r="77" spans="3:7" ht="15.75" x14ac:dyDescent="0.25">
      <c r="C77" s="16">
        <v>72</v>
      </c>
      <c r="D77" s="17"/>
      <c r="E77" s="17"/>
      <c r="F77" s="21"/>
      <c r="G77" s="19"/>
    </row>
    <row r="78" spans="3:7" ht="15.75" x14ac:dyDescent="0.25">
      <c r="C78" s="16">
        <v>73</v>
      </c>
      <c r="D78" s="17"/>
      <c r="E78" s="17"/>
      <c r="F78" s="21"/>
      <c r="G78" s="19"/>
    </row>
    <row r="79" spans="3:7" ht="15.75" x14ac:dyDescent="0.25">
      <c r="C79" s="16">
        <v>74</v>
      </c>
      <c r="D79" s="17"/>
      <c r="E79" s="17"/>
      <c r="F79" s="21"/>
      <c r="G79" s="19"/>
    </row>
    <row r="80" spans="3:7" ht="15.75" x14ac:dyDescent="0.25">
      <c r="C80" s="16">
        <v>75</v>
      </c>
      <c r="D80" s="17"/>
      <c r="E80" s="17"/>
      <c r="F80" s="21"/>
      <c r="G80" s="19"/>
    </row>
    <row r="81" spans="3:7" ht="15.75" x14ac:dyDescent="0.25">
      <c r="C81" s="16">
        <v>76</v>
      </c>
      <c r="D81" s="17"/>
      <c r="E81" s="17"/>
      <c r="F81" s="21"/>
      <c r="G81" s="19"/>
    </row>
    <row r="82" spans="3:7" ht="15.75" x14ac:dyDescent="0.25">
      <c r="C82" s="16">
        <v>77</v>
      </c>
      <c r="D82" s="17"/>
      <c r="E82" s="17"/>
      <c r="F82" s="21"/>
      <c r="G82" s="19"/>
    </row>
    <row r="83" spans="3:7" ht="15.75" x14ac:dyDescent="0.25">
      <c r="C83" s="16">
        <v>78</v>
      </c>
      <c r="D83" s="17"/>
      <c r="E83" s="17"/>
      <c r="F83" s="21"/>
      <c r="G83" s="19"/>
    </row>
    <row r="84" spans="3:7" ht="15.75" x14ac:dyDescent="0.25">
      <c r="C84" s="16">
        <v>79</v>
      </c>
      <c r="D84" s="17"/>
      <c r="E84" s="17"/>
      <c r="F84" s="21"/>
      <c r="G84" s="19"/>
    </row>
    <row r="85" spans="3:7" ht="15.75" x14ac:dyDescent="0.25">
      <c r="C85" s="16">
        <v>80</v>
      </c>
      <c r="D85" s="17"/>
      <c r="E85" s="17"/>
      <c r="F85" s="21"/>
      <c r="G85" s="19"/>
    </row>
    <row r="86" spans="3:7" ht="15.75" x14ac:dyDescent="0.25">
      <c r="C86" s="16">
        <v>81</v>
      </c>
      <c r="D86" s="17"/>
      <c r="E86" s="17"/>
      <c r="F86" s="21"/>
      <c r="G86" s="19"/>
    </row>
    <row r="87" spans="3:7" ht="15.75" x14ac:dyDescent="0.25">
      <c r="C87" s="16">
        <v>82</v>
      </c>
      <c r="D87" s="17"/>
      <c r="E87" s="17"/>
      <c r="F87" s="21"/>
      <c r="G87" s="19"/>
    </row>
    <row r="88" spans="3:7" ht="15.75" x14ac:dyDescent="0.25">
      <c r="C88" s="16">
        <v>83</v>
      </c>
      <c r="D88" s="17"/>
      <c r="E88" s="17"/>
      <c r="F88" s="21"/>
      <c r="G88" s="19"/>
    </row>
    <row r="89" spans="3:7" ht="15.75" x14ac:dyDescent="0.25">
      <c r="C89" s="16">
        <v>84</v>
      </c>
      <c r="D89" s="17"/>
      <c r="E89" s="17"/>
      <c r="F89" s="21"/>
      <c r="G89" s="19"/>
    </row>
    <row r="90" spans="3:7" ht="15.75" x14ac:dyDescent="0.25">
      <c r="C90" s="16">
        <v>85</v>
      </c>
      <c r="D90" s="17"/>
      <c r="E90" s="17"/>
      <c r="F90" s="21"/>
      <c r="G90" s="19"/>
    </row>
    <row r="91" spans="3:7" ht="15.75" x14ac:dyDescent="0.25">
      <c r="C91" s="16">
        <v>86</v>
      </c>
      <c r="D91" s="17"/>
      <c r="E91" s="17"/>
      <c r="F91" s="21"/>
      <c r="G91" s="19"/>
    </row>
    <row r="92" spans="3:7" ht="15.75" x14ac:dyDescent="0.25">
      <c r="C92" s="16">
        <v>87</v>
      </c>
      <c r="D92" s="17"/>
      <c r="E92" s="17"/>
      <c r="F92" s="21"/>
      <c r="G92" s="19"/>
    </row>
    <row r="93" spans="3:7" ht="15.75" x14ac:dyDescent="0.25">
      <c r="C93" s="16">
        <v>88</v>
      </c>
      <c r="D93" s="17"/>
      <c r="E93" s="17"/>
      <c r="F93" s="21"/>
      <c r="G93" s="19"/>
    </row>
    <row r="94" spans="3:7" ht="15.75" x14ac:dyDescent="0.25">
      <c r="C94" s="16">
        <v>89</v>
      </c>
      <c r="D94" s="17"/>
      <c r="E94" s="17"/>
      <c r="F94" s="21"/>
      <c r="G94" s="19"/>
    </row>
    <row r="95" spans="3:7" ht="15.75" x14ac:dyDescent="0.25">
      <c r="C95" s="16">
        <v>90</v>
      </c>
      <c r="D95" s="17"/>
      <c r="E95" s="17"/>
      <c r="F95" s="21"/>
      <c r="G95" s="19"/>
    </row>
    <row r="96" spans="3:7" ht="15.75" x14ac:dyDescent="0.25">
      <c r="C96" s="16">
        <v>91</v>
      </c>
      <c r="D96" s="17"/>
      <c r="E96" s="17"/>
      <c r="F96" s="21"/>
      <c r="G96" s="19"/>
    </row>
    <row r="97" spans="3:7" ht="15.75" x14ac:dyDescent="0.25">
      <c r="C97" s="16">
        <v>92</v>
      </c>
      <c r="D97" s="17"/>
      <c r="E97" s="17"/>
      <c r="F97" s="21"/>
      <c r="G97" s="19"/>
    </row>
    <row r="98" spans="3:7" ht="15.75" x14ac:dyDescent="0.25">
      <c r="C98" s="16">
        <v>93</v>
      </c>
      <c r="D98" s="17"/>
      <c r="E98" s="17"/>
      <c r="F98" s="21"/>
      <c r="G98" s="19"/>
    </row>
    <row r="99" spans="3:7" ht="15.75" x14ac:dyDescent="0.25">
      <c r="C99" s="16">
        <v>94</v>
      </c>
      <c r="D99" s="17"/>
      <c r="E99" s="17"/>
      <c r="F99" s="21"/>
      <c r="G99" s="19"/>
    </row>
    <row r="100" spans="3:7" ht="15.75" x14ac:dyDescent="0.25">
      <c r="C100" s="16">
        <v>95</v>
      </c>
      <c r="D100" s="17"/>
      <c r="E100" s="17"/>
      <c r="F100" s="21"/>
      <c r="G100" s="19"/>
    </row>
    <row r="101" spans="3:7" ht="15.75" x14ac:dyDescent="0.25">
      <c r="C101" s="16">
        <v>96</v>
      </c>
      <c r="D101" s="17"/>
      <c r="E101" s="17"/>
      <c r="F101" s="21"/>
      <c r="G101" s="19"/>
    </row>
    <row r="102" spans="3:7" ht="15.75" x14ac:dyDescent="0.25">
      <c r="C102" s="16">
        <v>97</v>
      </c>
      <c r="D102" s="17"/>
      <c r="E102" s="17"/>
      <c r="F102" s="21"/>
      <c r="G102" s="19"/>
    </row>
    <row r="103" spans="3:7" ht="15.75" x14ac:dyDescent="0.25">
      <c r="C103" s="16">
        <v>98</v>
      </c>
      <c r="D103" s="17"/>
      <c r="E103" s="17"/>
      <c r="F103" s="21"/>
      <c r="G103" s="19"/>
    </row>
    <row r="104" spans="3:7" ht="15.75" x14ac:dyDescent="0.25">
      <c r="C104" s="16">
        <v>99</v>
      </c>
      <c r="D104" s="17"/>
      <c r="E104" s="17"/>
      <c r="F104" s="21"/>
      <c r="G104" s="19"/>
    </row>
    <row r="105" spans="3:7" ht="15.75" x14ac:dyDescent="0.25">
      <c r="C105" s="16">
        <v>100</v>
      </c>
      <c r="D105" s="17"/>
      <c r="E105" s="17"/>
      <c r="F105" s="21"/>
      <c r="G105" s="19"/>
    </row>
  </sheetData>
  <mergeCells count="1">
    <mergeCell ref="C4:G4"/>
  </mergeCells>
  <conditionalFormatting sqref="D6:D105">
    <cfRule type="duplicateValues" dxfId="2" priority="1"/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03"/>
  <sheetViews>
    <sheetView workbookViewId="0">
      <pane ySplit="3" topLeftCell="A4" activePane="bottomLeft" state="frozen"/>
      <selection pane="bottomLeft" activeCell="K12" sqref="K12"/>
    </sheetView>
  </sheetViews>
  <sheetFormatPr defaultRowHeight="15" x14ac:dyDescent="0.25"/>
  <cols>
    <col min="4" max="4" width="34.85546875" bestFit="1" customWidth="1"/>
    <col min="5" max="5" width="17" bestFit="1" customWidth="1"/>
    <col min="6" max="6" width="15.28515625" bestFit="1" customWidth="1"/>
    <col min="7" max="7" width="16" bestFit="1" customWidth="1"/>
    <col min="8" max="8" width="19.28515625" customWidth="1"/>
    <col min="11" max="11" width="13.85546875" bestFit="1" customWidth="1"/>
    <col min="12" max="12" width="13.42578125" bestFit="1" customWidth="1"/>
    <col min="14" max="14" width="13.85546875" bestFit="1" customWidth="1"/>
  </cols>
  <sheetData>
    <row r="1" spans="3:8" ht="15.75" thickBot="1" x14ac:dyDescent="0.3"/>
    <row r="2" spans="3:8" ht="25.5" customHeight="1" thickBot="1" x14ac:dyDescent="0.3">
      <c r="C2" s="75" t="s">
        <v>14</v>
      </c>
      <c r="D2" s="76"/>
      <c r="E2" s="76"/>
      <c r="F2" s="76"/>
      <c r="G2" s="76"/>
      <c r="H2" s="77"/>
    </row>
    <row r="3" spans="3:8" ht="25.5" customHeight="1" thickBot="1" x14ac:dyDescent="0.3">
      <c r="C3" s="1" t="s">
        <v>0</v>
      </c>
      <c r="D3" s="22" t="s">
        <v>15</v>
      </c>
      <c r="E3" s="2" t="s">
        <v>5</v>
      </c>
      <c r="F3" s="2" t="s">
        <v>6</v>
      </c>
      <c r="G3" s="30" t="s">
        <v>17</v>
      </c>
      <c r="H3" s="31" t="s">
        <v>49</v>
      </c>
    </row>
    <row r="4" spans="3:8" ht="15.75" x14ac:dyDescent="0.25">
      <c r="C4" s="4">
        <v>1</v>
      </c>
      <c r="D4" s="23" t="s">
        <v>124</v>
      </c>
      <c r="E4" s="5" t="s">
        <v>2</v>
      </c>
      <c r="F4" s="60" t="s">
        <v>100</v>
      </c>
      <c r="G4" s="62">
        <v>44462</v>
      </c>
      <c r="H4" s="63"/>
    </row>
    <row r="5" spans="3:8" ht="15.75" x14ac:dyDescent="0.25">
      <c r="C5" s="7">
        <v>2</v>
      </c>
      <c r="D5" s="24" t="s">
        <v>115</v>
      </c>
      <c r="E5" s="8" t="s">
        <v>2</v>
      </c>
      <c r="F5" s="61" t="s">
        <v>101</v>
      </c>
      <c r="G5" s="62">
        <v>44462</v>
      </c>
      <c r="H5" s="64"/>
    </row>
    <row r="6" spans="3:8" ht="15.75" x14ac:dyDescent="0.25">
      <c r="C6" s="7">
        <v>3</v>
      </c>
      <c r="D6" s="24" t="s">
        <v>116</v>
      </c>
      <c r="E6" s="8" t="s">
        <v>2</v>
      </c>
      <c r="F6" s="61" t="s">
        <v>102</v>
      </c>
      <c r="G6" s="62">
        <v>44462</v>
      </c>
      <c r="H6" s="64"/>
    </row>
    <row r="7" spans="3:8" ht="15.75" x14ac:dyDescent="0.25">
      <c r="C7" s="7">
        <v>4</v>
      </c>
      <c r="D7" s="24" t="s">
        <v>118</v>
      </c>
      <c r="E7" s="8" t="s">
        <v>2</v>
      </c>
      <c r="F7" s="61" t="s">
        <v>103</v>
      </c>
      <c r="G7" s="62">
        <v>44462</v>
      </c>
      <c r="H7" s="64"/>
    </row>
    <row r="8" spans="3:8" ht="15.75" x14ac:dyDescent="0.25">
      <c r="C8" s="7">
        <v>5</v>
      </c>
      <c r="D8" s="24" t="s">
        <v>117</v>
      </c>
      <c r="E8" s="8" t="s">
        <v>2</v>
      </c>
      <c r="F8" s="61" t="s">
        <v>104</v>
      </c>
      <c r="G8" s="62">
        <v>44462</v>
      </c>
      <c r="H8" s="64"/>
    </row>
    <row r="9" spans="3:8" ht="15.75" x14ac:dyDescent="0.25">
      <c r="C9" s="7">
        <v>6</v>
      </c>
      <c r="D9" s="24" t="s">
        <v>119</v>
      </c>
      <c r="E9" s="8" t="s">
        <v>2</v>
      </c>
      <c r="F9" s="61" t="s">
        <v>105</v>
      </c>
      <c r="G9" s="62">
        <v>44462</v>
      </c>
      <c r="H9" s="64"/>
    </row>
    <row r="10" spans="3:8" ht="15.75" x14ac:dyDescent="0.25">
      <c r="C10" s="7">
        <v>7</v>
      </c>
      <c r="D10" s="24" t="s">
        <v>120</v>
      </c>
      <c r="E10" s="8" t="s">
        <v>2</v>
      </c>
      <c r="F10" s="61" t="s">
        <v>106</v>
      </c>
      <c r="G10" s="62">
        <v>44462</v>
      </c>
      <c r="H10" s="64"/>
    </row>
    <row r="11" spans="3:8" ht="15.75" x14ac:dyDescent="0.25">
      <c r="C11" s="7">
        <v>8</v>
      </c>
      <c r="D11" s="24" t="s">
        <v>121</v>
      </c>
      <c r="E11" s="8" t="s">
        <v>2</v>
      </c>
      <c r="F11" s="61" t="s">
        <v>107</v>
      </c>
      <c r="G11" s="62">
        <v>44462</v>
      </c>
      <c r="H11" s="64"/>
    </row>
    <row r="12" spans="3:8" ht="15.75" x14ac:dyDescent="0.25">
      <c r="C12" s="7">
        <v>9</v>
      </c>
      <c r="D12" s="24" t="s">
        <v>122</v>
      </c>
      <c r="E12" s="8" t="s">
        <v>2</v>
      </c>
      <c r="F12" s="61" t="s">
        <v>108</v>
      </c>
      <c r="G12" s="62">
        <v>44462</v>
      </c>
      <c r="H12" s="64"/>
    </row>
    <row r="13" spans="3:8" ht="15.75" x14ac:dyDescent="0.25">
      <c r="C13" s="7">
        <v>10</v>
      </c>
      <c r="D13" s="24" t="s">
        <v>123</v>
      </c>
      <c r="E13" s="8" t="s">
        <v>2</v>
      </c>
      <c r="F13" s="61" t="s">
        <v>109</v>
      </c>
      <c r="G13" s="62">
        <v>44462</v>
      </c>
      <c r="H13" s="64"/>
    </row>
    <row r="14" spans="3:8" ht="15.75" x14ac:dyDescent="0.25">
      <c r="C14" s="7">
        <v>11</v>
      </c>
      <c r="D14" s="24" t="s">
        <v>119</v>
      </c>
      <c r="E14" s="8" t="s">
        <v>2</v>
      </c>
      <c r="F14" s="61" t="s">
        <v>99</v>
      </c>
      <c r="G14" s="62">
        <v>44462</v>
      </c>
      <c r="H14" s="64"/>
    </row>
    <row r="15" spans="3:8" ht="15.75" x14ac:dyDescent="0.25">
      <c r="C15" s="7">
        <v>12</v>
      </c>
      <c r="D15" s="24" t="s">
        <v>115</v>
      </c>
      <c r="E15" s="8" t="s">
        <v>34</v>
      </c>
      <c r="F15" s="61" t="s">
        <v>162</v>
      </c>
      <c r="G15" s="62">
        <v>44462</v>
      </c>
      <c r="H15" s="64"/>
    </row>
    <row r="16" spans="3:8" ht="15.75" x14ac:dyDescent="0.25">
      <c r="C16" s="7">
        <v>13</v>
      </c>
      <c r="D16" s="24" t="s">
        <v>124</v>
      </c>
      <c r="E16" s="8" t="s">
        <v>34</v>
      </c>
      <c r="F16" s="61" t="s">
        <v>163</v>
      </c>
      <c r="G16" s="62">
        <v>44462</v>
      </c>
      <c r="H16" s="64"/>
    </row>
    <row r="17" spans="3:8" ht="15.75" x14ac:dyDescent="0.25">
      <c r="C17" s="7">
        <v>14</v>
      </c>
      <c r="D17" s="24" t="s">
        <v>117</v>
      </c>
      <c r="E17" s="8" t="s">
        <v>34</v>
      </c>
      <c r="F17" s="61" t="s">
        <v>164</v>
      </c>
      <c r="G17" s="62">
        <v>44462</v>
      </c>
      <c r="H17" s="64"/>
    </row>
    <row r="18" spans="3:8" ht="15.75" x14ac:dyDescent="0.25">
      <c r="C18" s="7">
        <v>15</v>
      </c>
      <c r="D18" s="24" t="s">
        <v>118</v>
      </c>
      <c r="E18" s="8" t="s">
        <v>34</v>
      </c>
      <c r="F18" s="61" t="s">
        <v>165</v>
      </c>
      <c r="G18" s="62">
        <v>44462</v>
      </c>
      <c r="H18" s="64"/>
    </row>
    <row r="19" spans="3:8" ht="15.75" x14ac:dyDescent="0.25">
      <c r="C19" s="7">
        <v>16</v>
      </c>
      <c r="D19" s="24" t="s">
        <v>116</v>
      </c>
      <c r="E19" s="8" t="s">
        <v>34</v>
      </c>
      <c r="F19" s="61" t="s">
        <v>166</v>
      </c>
      <c r="G19" s="62">
        <v>44462</v>
      </c>
      <c r="H19" s="64"/>
    </row>
    <row r="20" spans="3:8" ht="15.75" x14ac:dyDescent="0.25">
      <c r="C20" s="7">
        <v>17</v>
      </c>
      <c r="D20" s="24" t="s">
        <v>120</v>
      </c>
      <c r="E20" s="8" t="s">
        <v>34</v>
      </c>
      <c r="F20" s="61" t="s">
        <v>167</v>
      </c>
      <c r="G20" s="62">
        <v>44462</v>
      </c>
      <c r="H20" s="64"/>
    </row>
    <row r="21" spans="3:8" ht="15.75" x14ac:dyDescent="0.25">
      <c r="C21" s="7">
        <v>18</v>
      </c>
      <c r="D21" s="24" t="s">
        <v>119</v>
      </c>
      <c r="E21" s="8" t="s">
        <v>34</v>
      </c>
      <c r="F21" s="61" t="s">
        <v>168</v>
      </c>
      <c r="G21" s="62">
        <v>44462</v>
      </c>
      <c r="H21" s="64"/>
    </row>
    <row r="22" spans="3:8" ht="15.75" x14ac:dyDescent="0.25">
      <c r="C22" s="7">
        <v>19</v>
      </c>
      <c r="D22" s="24" t="s">
        <v>121</v>
      </c>
      <c r="E22" s="8" t="s">
        <v>34</v>
      </c>
      <c r="F22" s="61" t="s">
        <v>169</v>
      </c>
      <c r="G22" s="62">
        <v>44462</v>
      </c>
      <c r="H22" s="64"/>
    </row>
    <row r="23" spans="3:8" ht="15.75" x14ac:dyDescent="0.25">
      <c r="C23" s="7">
        <v>20</v>
      </c>
      <c r="D23" s="24" t="s">
        <v>122</v>
      </c>
      <c r="E23" s="8" t="s">
        <v>34</v>
      </c>
      <c r="F23" s="61" t="s">
        <v>170</v>
      </c>
      <c r="G23" s="62">
        <v>44462</v>
      </c>
      <c r="H23" s="64"/>
    </row>
    <row r="24" spans="3:8" ht="15.75" x14ac:dyDescent="0.25">
      <c r="C24" s="7">
        <v>21</v>
      </c>
      <c r="D24" s="24" t="s">
        <v>123</v>
      </c>
      <c r="E24" s="8" t="s">
        <v>34</v>
      </c>
      <c r="F24" s="61" t="s">
        <v>171</v>
      </c>
      <c r="G24" s="62">
        <v>44462</v>
      </c>
      <c r="H24" s="64"/>
    </row>
    <row r="25" spans="3:8" ht="15.75" x14ac:dyDescent="0.25">
      <c r="C25" s="7">
        <v>22</v>
      </c>
      <c r="D25" s="24" t="s">
        <v>119</v>
      </c>
      <c r="E25" s="8" t="s">
        <v>34</v>
      </c>
      <c r="F25" s="61" t="s">
        <v>181</v>
      </c>
      <c r="G25" s="62">
        <v>44462</v>
      </c>
      <c r="H25" s="64"/>
    </row>
    <row r="26" spans="3:8" ht="15.75" x14ac:dyDescent="0.25">
      <c r="C26" s="7">
        <v>23</v>
      </c>
      <c r="D26" s="24" t="s">
        <v>124</v>
      </c>
      <c r="E26" s="24" t="s">
        <v>45</v>
      </c>
      <c r="F26" s="61" t="s">
        <v>55</v>
      </c>
      <c r="G26" s="62">
        <v>44462</v>
      </c>
      <c r="H26" s="64"/>
    </row>
    <row r="27" spans="3:8" ht="15.75" x14ac:dyDescent="0.25">
      <c r="C27" s="7">
        <v>24</v>
      </c>
      <c r="D27" s="24" t="s">
        <v>115</v>
      </c>
      <c r="E27" s="24" t="s">
        <v>45</v>
      </c>
      <c r="F27" s="61" t="s">
        <v>56</v>
      </c>
      <c r="G27" s="62">
        <v>44462</v>
      </c>
      <c r="H27" s="64"/>
    </row>
    <row r="28" spans="3:8" ht="15.75" x14ac:dyDescent="0.25">
      <c r="C28" s="7">
        <v>25</v>
      </c>
      <c r="D28" s="24" t="s">
        <v>117</v>
      </c>
      <c r="E28" s="24" t="s">
        <v>45</v>
      </c>
      <c r="F28" s="61" t="s">
        <v>57</v>
      </c>
      <c r="G28" s="62">
        <v>44462</v>
      </c>
      <c r="H28" s="64"/>
    </row>
    <row r="29" spans="3:8" ht="15.75" x14ac:dyDescent="0.25">
      <c r="C29" s="7">
        <v>26</v>
      </c>
      <c r="D29" s="24" t="s">
        <v>118</v>
      </c>
      <c r="E29" s="24" t="s">
        <v>45</v>
      </c>
      <c r="F29" s="61" t="s">
        <v>58</v>
      </c>
      <c r="G29" s="62">
        <v>44462</v>
      </c>
      <c r="H29" s="64"/>
    </row>
    <row r="30" spans="3:8" ht="15.75" x14ac:dyDescent="0.25">
      <c r="C30" s="7">
        <v>27</v>
      </c>
      <c r="D30" s="24" t="s">
        <v>116</v>
      </c>
      <c r="E30" s="24" t="s">
        <v>45</v>
      </c>
      <c r="F30" s="61" t="s">
        <v>184</v>
      </c>
      <c r="G30" s="62">
        <v>44462</v>
      </c>
      <c r="H30" s="64"/>
    </row>
    <row r="31" spans="3:8" ht="15.75" x14ac:dyDescent="0.25">
      <c r="C31" s="7">
        <v>28</v>
      </c>
      <c r="D31" s="24" t="s">
        <v>120</v>
      </c>
      <c r="E31" s="24" t="s">
        <v>45</v>
      </c>
      <c r="F31" s="61" t="s">
        <v>188</v>
      </c>
      <c r="G31" s="62">
        <v>44462</v>
      </c>
      <c r="H31" s="64"/>
    </row>
    <row r="32" spans="3:8" ht="15.75" x14ac:dyDescent="0.25">
      <c r="C32" s="7">
        <v>29</v>
      </c>
      <c r="D32" s="24" t="s">
        <v>119</v>
      </c>
      <c r="E32" s="24" t="s">
        <v>45</v>
      </c>
      <c r="F32" s="61" t="s">
        <v>189</v>
      </c>
      <c r="G32" s="62">
        <v>44462</v>
      </c>
      <c r="H32" s="64"/>
    </row>
    <row r="33" spans="3:8" ht="15.75" x14ac:dyDescent="0.25">
      <c r="C33" s="7">
        <v>30</v>
      </c>
      <c r="D33" s="24" t="s">
        <v>121</v>
      </c>
      <c r="E33" s="24" t="s">
        <v>45</v>
      </c>
      <c r="F33" s="61" t="s">
        <v>187</v>
      </c>
      <c r="G33" s="62">
        <v>44462</v>
      </c>
      <c r="H33" s="64"/>
    </row>
    <row r="34" spans="3:8" ht="15.75" x14ac:dyDescent="0.25">
      <c r="C34" s="7">
        <v>31</v>
      </c>
      <c r="D34" s="24" t="s">
        <v>122</v>
      </c>
      <c r="E34" s="24" t="s">
        <v>45</v>
      </c>
      <c r="F34" s="61" t="s">
        <v>186</v>
      </c>
      <c r="G34" s="62">
        <v>44462</v>
      </c>
      <c r="H34" s="64"/>
    </row>
    <row r="35" spans="3:8" ht="15.75" x14ac:dyDescent="0.25">
      <c r="C35" s="7">
        <v>32</v>
      </c>
      <c r="D35" s="24" t="s">
        <v>123</v>
      </c>
      <c r="E35" s="24" t="s">
        <v>45</v>
      </c>
      <c r="F35" s="61" t="s">
        <v>185</v>
      </c>
      <c r="G35" s="62">
        <v>44462</v>
      </c>
      <c r="H35" s="64"/>
    </row>
    <row r="36" spans="3:8" ht="15.75" x14ac:dyDescent="0.25">
      <c r="C36" s="7">
        <v>33</v>
      </c>
      <c r="D36" s="24" t="s">
        <v>124</v>
      </c>
      <c r="E36" s="24" t="s">
        <v>44</v>
      </c>
      <c r="F36" s="61" t="s">
        <v>50</v>
      </c>
      <c r="G36" s="62">
        <v>44462</v>
      </c>
      <c r="H36" s="64"/>
    </row>
    <row r="37" spans="3:8" ht="15.75" x14ac:dyDescent="0.25">
      <c r="C37" s="7">
        <v>34</v>
      </c>
      <c r="D37" s="24" t="s">
        <v>115</v>
      </c>
      <c r="E37" s="24" t="s">
        <v>44</v>
      </c>
      <c r="F37" s="61" t="s">
        <v>52</v>
      </c>
      <c r="G37" s="62">
        <v>44462</v>
      </c>
      <c r="H37" s="64"/>
    </row>
    <row r="38" spans="3:8" ht="15.75" x14ac:dyDescent="0.25">
      <c r="C38" s="7">
        <v>35</v>
      </c>
      <c r="D38" s="24" t="s">
        <v>117</v>
      </c>
      <c r="E38" s="24" t="s">
        <v>44</v>
      </c>
      <c r="F38" s="61" t="s">
        <v>53</v>
      </c>
      <c r="G38" s="62">
        <v>44462</v>
      </c>
      <c r="H38" s="64"/>
    </row>
    <row r="39" spans="3:8" ht="15.75" x14ac:dyDescent="0.25">
      <c r="C39" s="7">
        <v>36</v>
      </c>
      <c r="D39" s="24" t="s">
        <v>118</v>
      </c>
      <c r="E39" s="24" t="s">
        <v>44</v>
      </c>
      <c r="F39" s="61" t="s">
        <v>54</v>
      </c>
      <c r="G39" s="62">
        <v>44462</v>
      </c>
      <c r="H39" s="64"/>
    </row>
    <row r="40" spans="3:8" ht="15.75" x14ac:dyDescent="0.25">
      <c r="C40" s="7">
        <v>37</v>
      </c>
      <c r="D40" s="24" t="s">
        <v>116</v>
      </c>
      <c r="E40" s="24" t="s">
        <v>44</v>
      </c>
      <c r="F40" s="61" t="s">
        <v>208</v>
      </c>
      <c r="G40" s="62">
        <v>44462</v>
      </c>
      <c r="H40" s="64"/>
    </row>
    <row r="41" spans="3:8" ht="15.75" x14ac:dyDescent="0.25">
      <c r="C41" s="7">
        <v>38</v>
      </c>
      <c r="D41" s="24" t="s">
        <v>123</v>
      </c>
      <c r="E41" s="24" t="s">
        <v>44</v>
      </c>
      <c r="F41" s="61" t="s">
        <v>209</v>
      </c>
      <c r="G41" s="62">
        <v>44462</v>
      </c>
      <c r="H41" s="64"/>
    </row>
    <row r="42" spans="3:8" ht="15.75" x14ac:dyDescent="0.25">
      <c r="C42" s="7">
        <v>39</v>
      </c>
      <c r="D42" s="24" t="s">
        <v>122</v>
      </c>
      <c r="E42" s="24" t="s">
        <v>44</v>
      </c>
      <c r="F42" s="61" t="s">
        <v>210</v>
      </c>
      <c r="G42" s="62">
        <v>44462</v>
      </c>
      <c r="H42" s="64"/>
    </row>
    <row r="43" spans="3:8" ht="15.75" x14ac:dyDescent="0.25">
      <c r="C43" s="7">
        <v>40</v>
      </c>
      <c r="D43" s="24" t="s">
        <v>121</v>
      </c>
      <c r="E43" s="24" t="s">
        <v>44</v>
      </c>
      <c r="F43" s="61" t="s">
        <v>211</v>
      </c>
      <c r="G43" s="62">
        <v>44462</v>
      </c>
      <c r="H43" s="64"/>
    </row>
    <row r="44" spans="3:8" ht="15.75" x14ac:dyDescent="0.25">
      <c r="C44" s="7">
        <v>41</v>
      </c>
      <c r="D44" s="24" t="s">
        <v>120</v>
      </c>
      <c r="E44" s="24" t="s">
        <v>44</v>
      </c>
      <c r="F44" s="61" t="s">
        <v>212</v>
      </c>
      <c r="G44" s="62">
        <v>44462</v>
      </c>
      <c r="H44" s="64"/>
    </row>
    <row r="45" spans="3:8" ht="15.75" x14ac:dyDescent="0.25">
      <c r="C45" s="7">
        <v>42</v>
      </c>
      <c r="D45" s="24" t="s">
        <v>119</v>
      </c>
      <c r="E45" s="24" t="s">
        <v>44</v>
      </c>
      <c r="F45" s="61" t="s">
        <v>213</v>
      </c>
      <c r="G45" s="62">
        <v>44462</v>
      </c>
      <c r="H45" s="64"/>
    </row>
    <row r="46" spans="3:8" ht="15.75" x14ac:dyDescent="0.25">
      <c r="C46" s="7">
        <v>43</v>
      </c>
      <c r="D46" s="24"/>
      <c r="E46" s="24"/>
      <c r="F46" s="61"/>
      <c r="G46" s="8"/>
      <c r="H46" s="64"/>
    </row>
    <row r="47" spans="3:8" ht="15.75" x14ac:dyDescent="0.25">
      <c r="C47" s="7">
        <v>44</v>
      </c>
      <c r="D47" s="24"/>
      <c r="E47" s="24"/>
      <c r="F47" s="61"/>
      <c r="G47" s="8"/>
      <c r="H47" s="64"/>
    </row>
    <row r="48" spans="3:8" ht="15.75" x14ac:dyDescent="0.25">
      <c r="C48" s="7">
        <v>45</v>
      </c>
      <c r="D48" s="24"/>
      <c r="E48" s="24"/>
      <c r="F48" s="61"/>
      <c r="G48" s="8"/>
      <c r="H48" s="64"/>
    </row>
    <row r="49" spans="3:8" ht="15.75" x14ac:dyDescent="0.25">
      <c r="C49" s="7">
        <v>46</v>
      </c>
      <c r="D49" s="24"/>
      <c r="E49" s="24"/>
      <c r="F49" s="61"/>
      <c r="G49" s="8"/>
      <c r="H49" s="64"/>
    </row>
    <row r="50" spans="3:8" ht="15.75" x14ac:dyDescent="0.25">
      <c r="C50" s="7">
        <v>47</v>
      </c>
      <c r="D50" s="24"/>
      <c r="E50" s="24"/>
      <c r="F50" s="61"/>
      <c r="G50" s="8"/>
      <c r="H50" s="64"/>
    </row>
    <row r="51" spans="3:8" ht="15.75" x14ac:dyDescent="0.25">
      <c r="C51" s="7">
        <v>48</v>
      </c>
      <c r="D51" s="24"/>
      <c r="E51" s="24"/>
      <c r="F51" s="61"/>
      <c r="G51" s="8"/>
      <c r="H51" s="64"/>
    </row>
    <row r="52" spans="3:8" ht="15.75" x14ac:dyDescent="0.25">
      <c r="C52" s="7">
        <v>49</v>
      </c>
      <c r="D52" s="24"/>
      <c r="E52" s="24"/>
      <c r="F52" s="61"/>
      <c r="G52" s="8"/>
      <c r="H52" s="64"/>
    </row>
    <row r="53" spans="3:8" ht="15.75" x14ac:dyDescent="0.25">
      <c r="C53" s="7">
        <v>50</v>
      </c>
      <c r="D53" s="24"/>
      <c r="E53" s="24"/>
      <c r="F53" s="61"/>
      <c r="G53" s="8"/>
      <c r="H53" s="64"/>
    </row>
    <row r="54" spans="3:8" ht="15.75" x14ac:dyDescent="0.25">
      <c r="C54" s="7">
        <v>51</v>
      </c>
      <c r="D54" s="24"/>
      <c r="E54" s="24"/>
      <c r="F54" s="61"/>
      <c r="G54" s="8"/>
      <c r="H54" s="64"/>
    </row>
    <row r="55" spans="3:8" ht="15.75" x14ac:dyDescent="0.25">
      <c r="C55" s="7">
        <v>52</v>
      </c>
      <c r="D55" s="24"/>
      <c r="E55" s="24"/>
      <c r="F55" s="61"/>
      <c r="G55" s="8"/>
      <c r="H55" s="64"/>
    </row>
    <row r="56" spans="3:8" ht="15.75" x14ac:dyDescent="0.25">
      <c r="C56" s="7">
        <v>53</v>
      </c>
      <c r="D56" s="24"/>
      <c r="E56" s="24"/>
      <c r="F56" s="61"/>
      <c r="G56" s="8"/>
      <c r="H56" s="64"/>
    </row>
    <row r="57" spans="3:8" ht="15.75" x14ac:dyDescent="0.25">
      <c r="C57" s="7">
        <v>54</v>
      </c>
      <c r="D57" s="24"/>
      <c r="E57" s="24"/>
      <c r="F57" s="61"/>
      <c r="G57" s="8"/>
      <c r="H57" s="64"/>
    </row>
    <row r="58" spans="3:8" ht="15.75" x14ac:dyDescent="0.25">
      <c r="C58" s="7">
        <v>55</v>
      </c>
      <c r="D58" s="24"/>
      <c r="E58" s="24"/>
      <c r="F58" s="61"/>
      <c r="G58" s="8"/>
      <c r="H58" s="64"/>
    </row>
    <row r="59" spans="3:8" ht="15.75" x14ac:dyDescent="0.25">
      <c r="C59" s="7">
        <v>56</v>
      </c>
      <c r="D59" s="24"/>
      <c r="E59" s="24"/>
      <c r="F59" s="61"/>
      <c r="G59" s="8"/>
      <c r="H59" s="64"/>
    </row>
    <row r="60" spans="3:8" ht="15.75" x14ac:dyDescent="0.25">
      <c r="C60" s="7">
        <v>57</v>
      </c>
      <c r="D60" s="24"/>
      <c r="E60" s="24"/>
      <c r="F60" s="61"/>
      <c r="G60" s="8"/>
      <c r="H60" s="64"/>
    </row>
    <row r="61" spans="3:8" ht="15.75" x14ac:dyDescent="0.25">
      <c r="C61" s="7">
        <v>58</v>
      </c>
      <c r="D61" s="24"/>
      <c r="E61" s="24"/>
      <c r="F61" s="61"/>
      <c r="G61" s="8"/>
      <c r="H61" s="64"/>
    </row>
    <row r="62" spans="3:8" ht="15.75" x14ac:dyDescent="0.25">
      <c r="C62" s="7">
        <v>59</v>
      </c>
      <c r="D62" s="24"/>
      <c r="E62" s="24"/>
      <c r="F62" s="61"/>
      <c r="G62" s="8"/>
      <c r="H62" s="64"/>
    </row>
    <row r="63" spans="3:8" ht="15.75" x14ac:dyDescent="0.25">
      <c r="C63" s="7">
        <v>60</v>
      </c>
      <c r="D63" s="24"/>
      <c r="E63" s="24"/>
      <c r="F63" s="61"/>
      <c r="G63" s="8"/>
      <c r="H63" s="64"/>
    </row>
    <row r="64" spans="3:8" ht="15.75" x14ac:dyDescent="0.25">
      <c r="C64" s="7">
        <v>61</v>
      </c>
      <c r="D64" s="24"/>
      <c r="E64" s="24"/>
      <c r="F64" s="61"/>
      <c r="G64" s="8"/>
      <c r="H64" s="64"/>
    </row>
    <row r="65" spans="3:8" ht="15.75" x14ac:dyDescent="0.25">
      <c r="C65" s="7">
        <v>62</v>
      </c>
      <c r="D65" s="24"/>
      <c r="E65" s="24"/>
      <c r="F65" s="61"/>
      <c r="G65" s="8"/>
      <c r="H65" s="64"/>
    </row>
    <row r="66" spans="3:8" ht="15.75" x14ac:dyDescent="0.25">
      <c r="C66" s="7">
        <v>63</v>
      </c>
      <c r="D66" s="24"/>
      <c r="E66" s="24"/>
      <c r="F66" s="61"/>
      <c r="G66" s="8"/>
      <c r="H66" s="64"/>
    </row>
    <row r="67" spans="3:8" ht="15.75" x14ac:dyDescent="0.25">
      <c r="C67" s="7">
        <v>64</v>
      </c>
      <c r="D67" s="24"/>
      <c r="E67" s="24"/>
      <c r="F67" s="61"/>
      <c r="G67" s="8"/>
      <c r="H67" s="64"/>
    </row>
    <row r="68" spans="3:8" ht="15.75" x14ac:dyDescent="0.25">
      <c r="C68" s="7">
        <v>65</v>
      </c>
      <c r="D68" s="24"/>
      <c r="E68" s="24"/>
      <c r="F68" s="61"/>
      <c r="G68" s="8"/>
      <c r="H68" s="64"/>
    </row>
    <row r="69" spans="3:8" ht="15.75" x14ac:dyDescent="0.25">
      <c r="C69" s="7">
        <v>66</v>
      </c>
      <c r="D69" s="24"/>
      <c r="E69" s="24"/>
      <c r="F69" s="61"/>
      <c r="G69" s="8"/>
      <c r="H69" s="64"/>
    </row>
    <row r="70" spans="3:8" ht="15.75" x14ac:dyDescent="0.25">
      <c r="C70" s="7">
        <v>67</v>
      </c>
      <c r="D70" s="24"/>
      <c r="E70" s="24"/>
      <c r="F70" s="61"/>
      <c r="G70" s="8"/>
      <c r="H70" s="64"/>
    </row>
    <row r="71" spans="3:8" ht="15.75" x14ac:dyDescent="0.25">
      <c r="C71" s="7">
        <v>68</v>
      </c>
      <c r="D71" s="24"/>
      <c r="E71" s="24"/>
      <c r="F71" s="61"/>
      <c r="G71" s="8"/>
      <c r="H71" s="64"/>
    </row>
    <row r="72" spans="3:8" ht="15.75" x14ac:dyDescent="0.25">
      <c r="C72" s="7">
        <v>69</v>
      </c>
      <c r="D72" s="24"/>
      <c r="E72" s="24"/>
      <c r="F72" s="61"/>
      <c r="G72" s="8"/>
      <c r="H72" s="64"/>
    </row>
    <row r="73" spans="3:8" ht="15.75" x14ac:dyDescent="0.25">
      <c r="C73" s="7">
        <v>70</v>
      </c>
      <c r="D73" s="24"/>
      <c r="E73" s="24"/>
      <c r="F73" s="61"/>
      <c r="G73" s="8"/>
      <c r="H73" s="64"/>
    </row>
    <row r="74" spans="3:8" ht="15.75" x14ac:dyDescent="0.25">
      <c r="C74" s="7">
        <v>71</v>
      </c>
      <c r="D74" s="24"/>
      <c r="E74" s="24"/>
      <c r="F74" s="61"/>
      <c r="G74" s="8"/>
      <c r="H74" s="64"/>
    </row>
    <row r="75" spans="3:8" ht="15.75" x14ac:dyDescent="0.25">
      <c r="C75" s="7">
        <v>72</v>
      </c>
      <c r="D75" s="24"/>
      <c r="E75" s="24"/>
      <c r="F75" s="61"/>
      <c r="G75" s="8"/>
      <c r="H75" s="64"/>
    </row>
    <row r="76" spans="3:8" ht="15.75" x14ac:dyDescent="0.25">
      <c r="C76" s="7">
        <v>73</v>
      </c>
      <c r="D76" s="24"/>
      <c r="E76" s="24"/>
      <c r="F76" s="61"/>
      <c r="G76" s="8"/>
      <c r="H76" s="64"/>
    </row>
    <row r="77" spans="3:8" ht="15.75" x14ac:dyDescent="0.25">
      <c r="C77" s="7">
        <v>74</v>
      </c>
      <c r="D77" s="24"/>
      <c r="E77" s="24"/>
      <c r="F77" s="61"/>
      <c r="G77" s="8"/>
      <c r="H77" s="64"/>
    </row>
    <row r="78" spans="3:8" ht="15.75" x14ac:dyDescent="0.25">
      <c r="C78" s="7">
        <v>75</v>
      </c>
      <c r="D78" s="24"/>
      <c r="E78" s="24"/>
      <c r="F78" s="61"/>
      <c r="G78" s="8"/>
      <c r="H78" s="64"/>
    </row>
    <row r="79" spans="3:8" ht="15.75" x14ac:dyDescent="0.25">
      <c r="C79" s="7">
        <v>76</v>
      </c>
      <c r="D79" s="24"/>
      <c r="E79" s="24"/>
      <c r="F79" s="61"/>
      <c r="G79" s="8"/>
      <c r="H79" s="64"/>
    </row>
    <row r="80" spans="3:8" ht="15.75" x14ac:dyDescent="0.25">
      <c r="C80" s="7">
        <v>77</v>
      </c>
      <c r="D80" s="24"/>
      <c r="E80" s="24"/>
      <c r="F80" s="61"/>
      <c r="G80" s="8"/>
      <c r="H80" s="64"/>
    </row>
    <row r="81" spans="3:8" ht="15.75" x14ac:dyDescent="0.25">
      <c r="C81" s="7">
        <v>78</v>
      </c>
      <c r="D81" s="24"/>
      <c r="E81" s="24"/>
      <c r="F81" s="61"/>
      <c r="G81" s="8"/>
      <c r="H81" s="64"/>
    </row>
    <row r="82" spans="3:8" ht="15.75" x14ac:dyDescent="0.25">
      <c r="C82" s="7">
        <v>79</v>
      </c>
      <c r="D82" s="24"/>
      <c r="E82" s="24"/>
      <c r="F82" s="61"/>
      <c r="G82" s="8"/>
      <c r="H82" s="64"/>
    </row>
    <row r="83" spans="3:8" ht="15.75" x14ac:dyDescent="0.25">
      <c r="C83" s="7">
        <v>80</v>
      </c>
      <c r="D83" s="24"/>
      <c r="E83" s="24"/>
      <c r="F83" s="61"/>
      <c r="G83" s="8"/>
      <c r="H83" s="64"/>
    </row>
    <row r="84" spans="3:8" ht="15.75" x14ac:dyDescent="0.25">
      <c r="C84" s="7">
        <v>81</v>
      </c>
      <c r="D84" s="24"/>
      <c r="E84" s="24"/>
      <c r="F84" s="61"/>
      <c r="G84" s="8"/>
      <c r="H84" s="64"/>
    </row>
    <row r="85" spans="3:8" ht="15.75" x14ac:dyDescent="0.25">
      <c r="C85" s="7">
        <v>82</v>
      </c>
      <c r="D85" s="24"/>
      <c r="E85" s="24"/>
      <c r="F85" s="61"/>
      <c r="G85" s="8"/>
      <c r="H85" s="64"/>
    </row>
    <row r="86" spans="3:8" ht="15.75" x14ac:dyDescent="0.25">
      <c r="C86" s="7">
        <v>83</v>
      </c>
      <c r="D86" s="24"/>
      <c r="E86" s="24"/>
      <c r="F86" s="61"/>
      <c r="G86" s="8"/>
      <c r="H86" s="64"/>
    </row>
    <row r="87" spans="3:8" ht="15.75" x14ac:dyDescent="0.25">
      <c r="C87" s="7">
        <v>84</v>
      </c>
      <c r="D87" s="24"/>
      <c r="E87" s="24"/>
      <c r="F87" s="61"/>
      <c r="G87" s="8"/>
      <c r="H87" s="64"/>
    </row>
    <row r="88" spans="3:8" ht="15.75" x14ac:dyDescent="0.25">
      <c r="C88" s="7">
        <v>85</v>
      </c>
      <c r="D88" s="24"/>
      <c r="E88" s="24"/>
      <c r="F88" s="61"/>
      <c r="G88" s="8"/>
      <c r="H88" s="64"/>
    </row>
    <row r="89" spans="3:8" ht="15.75" x14ac:dyDescent="0.25">
      <c r="C89" s="7">
        <v>86</v>
      </c>
      <c r="D89" s="24"/>
      <c r="E89" s="24"/>
      <c r="F89" s="61"/>
      <c r="G89" s="8"/>
      <c r="H89" s="64"/>
    </row>
    <row r="90" spans="3:8" ht="15.75" x14ac:dyDescent="0.25">
      <c r="C90" s="7">
        <v>87</v>
      </c>
      <c r="D90" s="24"/>
      <c r="E90" s="24"/>
      <c r="F90" s="61"/>
      <c r="G90" s="8"/>
      <c r="H90" s="64"/>
    </row>
    <row r="91" spans="3:8" ht="15.75" x14ac:dyDescent="0.25">
      <c r="C91" s="7">
        <v>88</v>
      </c>
      <c r="D91" s="24"/>
      <c r="E91" s="24"/>
      <c r="F91" s="61"/>
      <c r="G91" s="8"/>
      <c r="H91" s="64"/>
    </row>
    <row r="92" spans="3:8" ht="15.75" x14ac:dyDescent="0.25">
      <c r="C92" s="7">
        <v>89</v>
      </c>
      <c r="D92" s="24"/>
      <c r="E92" s="24"/>
      <c r="F92" s="61"/>
      <c r="G92" s="8"/>
      <c r="H92" s="64"/>
    </row>
    <row r="93" spans="3:8" ht="15.75" x14ac:dyDescent="0.25">
      <c r="C93" s="7">
        <v>90</v>
      </c>
      <c r="D93" s="24"/>
      <c r="E93" s="24"/>
      <c r="F93" s="61"/>
      <c r="G93" s="8"/>
      <c r="H93" s="64"/>
    </row>
    <row r="94" spans="3:8" ht="15.75" x14ac:dyDescent="0.25">
      <c r="C94" s="7">
        <v>91</v>
      </c>
      <c r="D94" s="24"/>
      <c r="E94" s="24"/>
      <c r="F94" s="61"/>
      <c r="G94" s="8"/>
      <c r="H94" s="64"/>
    </row>
    <row r="95" spans="3:8" ht="15.75" x14ac:dyDescent="0.25">
      <c r="C95" s="7">
        <v>92</v>
      </c>
      <c r="D95" s="24"/>
      <c r="E95" s="24"/>
      <c r="F95" s="61"/>
      <c r="G95" s="8"/>
      <c r="H95" s="64"/>
    </row>
    <row r="96" spans="3:8" ht="15.75" x14ac:dyDescent="0.25">
      <c r="C96" s="7">
        <v>93</v>
      </c>
      <c r="D96" s="24"/>
      <c r="E96" s="24"/>
      <c r="F96" s="61"/>
      <c r="G96" s="8"/>
      <c r="H96" s="64"/>
    </row>
    <row r="97" spans="3:8" ht="15.75" x14ac:dyDescent="0.25">
      <c r="C97" s="7">
        <v>94</v>
      </c>
      <c r="D97" s="24"/>
      <c r="E97" s="24"/>
      <c r="F97" s="61"/>
      <c r="G97" s="8"/>
      <c r="H97" s="64"/>
    </row>
    <row r="98" spans="3:8" ht="15.75" x14ac:dyDescent="0.25">
      <c r="C98" s="7">
        <v>95</v>
      </c>
      <c r="D98" s="24"/>
      <c r="E98" s="24"/>
      <c r="F98" s="61"/>
      <c r="G98" s="8"/>
      <c r="H98" s="64"/>
    </row>
    <row r="99" spans="3:8" ht="15.75" x14ac:dyDescent="0.25">
      <c r="C99" s="7">
        <v>96</v>
      </c>
      <c r="D99" s="24"/>
      <c r="E99" s="24"/>
      <c r="F99" s="61"/>
      <c r="G99" s="8"/>
      <c r="H99" s="64"/>
    </row>
    <row r="100" spans="3:8" ht="15.75" x14ac:dyDescent="0.25">
      <c r="C100" s="7">
        <v>97</v>
      </c>
      <c r="D100" s="24"/>
      <c r="E100" s="24"/>
      <c r="F100" s="61"/>
      <c r="G100" s="8"/>
      <c r="H100" s="64"/>
    </row>
    <row r="101" spans="3:8" ht="15.75" x14ac:dyDescent="0.25">
      <c r="C101" s="7">
        <v>98</v>
      </c>
      <c r="D101" s="24"/>
      <c r="E101" s="24"/>
      <c r="F101" s="61"/>
      <c r="G101" s="8"/>
      <c r="H101" s="64"/>
    </row>
    <row r="102" spans="3:8" ht="15.75" x14ac:dyDescent="0.25">
      <c r="C102" s="7">
        <v>99</v>
      </c>
      <c r="D102" s="24"/>
      <c r="E102" s="24"/>
      <c r="F102" s="61"/>
      <c r="G102" s="8"/>
      <c r="H102" s="64"/>
    </row>
    <row r="103" spans="3:8" ht="16.5" thickBot="1" x14ac:dyDescent="0.3">
      <c r="C103" s="10">
        <v>100</v>
      </c>
      <c r="D103" s="24"/>
      <c r="E103" s="25"/>
      <c r="F103" s="61"/>
      <c r="G103" s="8"/>
      <c r="H103" s="65"/>
    </row>
  </sheetData>
  <mergeCells count="1">
    <mergeCell ref="C2:H2"/>
  </mergeCells>
  <conditionalFormatting sqref="F4:F103">
    <cfRule type="duplicateValues" dxfId="0" priority="3"/>
  </conditionalFormatting>
  <dataValidations count="3">
    <dataValidation type="list" allowBlank="1" showInputMessage="1" showErrorMessage="1" sqref="E4:E103">
      <formula1>list</formula1>
    </dataValidation>
    <dataValidation type="list" allowBlank="1" showInputMessage="1" showErrorMessage="1" sqref="L6">
      <formula1>IF(E4="Keyboard",key,IF(E4="mouse",mou,IF(E4="LCD",LCD,"")))</formula1>
    </dataValidation>
    <dataValidation type="list" allowBlank="1" showInputMessage="1" showErrorMessage="1" sqref="F4:F103">
      <formula1>IF(E4="Keyboard",key,IF(E4="mouse",mou,IF(E4="LCD",LCD,IF(E4="CPU",CPU,IF(E4="Hard Drive",harddrive,IF(E4="Power Cable",powercable,IF(E4="USB",usb,IF(E4="Camera",camera,IF(E4="Router",router,IF(E4="Network Switch",NS,IF(E4="Printer",printer,"")))))))))))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03"/>
  <sheetViews>
    <sheetView workbookViewId="0">
      <pane ySplit="3" topLeftCell="A4" activePane="bottomLeft" state="frozen"/>
      <selection pane="bottomLeft" activeCell="M22" sqref="M22"/>
    </sheetView>
  </sheetViews>
  <sheetFormatPr defaultRowHeight="15" x14ac:dyDescent="0.25"/>
  <cols>
    <col min="4" max="4" width="11.7109375" bestFit="1" customWidth="1"/>
    <col min="5" max="5" width="14.5703125" customWidth="1"/>
    <col min="6" max="6" width="17" bestFit="1" customWidth="1"/>
    <col min="7" max="7" width="15.28515625" bestFit="1" customWidth="1"/>
    <col min="8" max="8" width="16" customWidth="1"/>
    <col min="9" max="9" width="16" bestFit="1" customWidth="1"/>
    <col min="10" max="10" width="16" customWidth="1"/>
    <col min="11" max="12" width="16" bestFit="1" customWidth="1"/>
    <col min="15" max="15" width="13.85546875" bestFit="1" customWidth="1"/>
    <col min="16" max="16" width="13.42578125" bestFit="1" customWidth="1"/>
    <col min="18" max="18" width="13.85546875" bestFit="1" customWidth="1"/>
  </cols>
  <sheetData>
    <row r="1" spans="3:15" ht="15.75" thickBot="1" x14ac:dyDescent="0.3"/>
    <row r="2" spans="3:15" ht="25.5" customHeight="1" thickBot="1" x14ac:dyDescent="0.3">
      <c r="C2" s="75" t="s">
        <v>18</v>
      </c>
      <c r="D2" s="76"/>
      <c r="E2" s="76"/>
      <c r="F2" s="76"/>
      <c r="G2" s="76"/>
      <c r="H2" s="76"/>
      <c r="I2" s="76"/>
      <c r="J2" s="76"/>
      <c r="K2" s="76"/>
      <c r="L2" s="77"/>
    </row>
    <row r="3" spans="3:15" ht="25.5" customHeight="1" thickBot="1" x14ac:dyDescent="0.3">
      <c r="C3" s="1" t="s">
        <v>0</v>
      </c>
      <c r="D3" s="22" t="s">
        <v>16</v>
      </c>
      <c r="E3" s="22" t="s">
        <v>15</v>
      </c>
      <c r="F3" s="2" t="s">
        <v>5</v>
      </c>
      <c r="G3" s="2" t="s">
        <v>6</v>
      </c>
      <c r="H3" s="32" t="s">
        <v>20</v>
      </c>
      <c r="I3" s="2" t="s">
        <v>17</v>
      </c>
      <c r="J3" s="2" t="s">
        <v>33</v>
      </c>
      <c r="K3" s="2" t="s">
        <v>32</v>
      </c>
      <c r="L3" s="3" t="s">
        <v>3</v>
      </c>
    </row>
    <row r="4" spans="3:15" ht="20.25" customHeight="1" x14ac:dyDescent="0.25">
      <c r="C4" s="4">
        <v>1</v>
      </c>
      <c r="D4" s="23">
        <v>80</v>
      </c>
      <c r="E4" s="23"/>
      <c r="F4" s="5"/>
      <c r="G4" s="5"/>
      <c r="H4" s="28" t="s">
        <v>24</v>
      </c>
      <c r="I4" s="49">
        <v>44267</v>
      </c>
      <c r="J4" s="49"/>
      <c r="K4" s="49"/>
      <c r="L4" s="6"/>
    </row>
    <row r="5" spans="3:15" ht="20.25" customHeight="1" x14ac:dyDescent="0.25">
      <c r="C5" s="7">
        <v>2</v>
      </c>
      <c r="D5" s="24"/>
      <c r="E5" s="24"/>
      <c r="F5" s="8"/>
      <c r="G5" s="8"/>
      <c r="H5" s="29"/>
      <c r="I5" s="47"/>
      <c r="J5" s="47"/>
      <c r="K5" s="47"/>
      <c r="L5" s="9"/>
      <c r="O5">
        <f>COUNTIFS(G4:G13,"*es-01*",K4:K13,"Return")</f>
        <v>0</v>
      </c>
    </row>
    <row r="6" spans="3:15" ht="20.25" customHeight="1" x14ac:dyDescent="0.25">
      <c r="C6" s="7">
        <v>3</v>
      </c>
      <c r="D6" s="24"/>
      <c r="E6" s="24"/>
      <c r="F6" s="8"/>
      <c r="G6" s="8"/>
      <c r="H6" s="29"/>
      <c r="I6" s="47"/>
      <c r="J6" s="47"/>
      <c r="K6" s="47"/>
      <c r="L6" s="9"/>
    </row>
    <row r="7" spans="3:15" ht="20.25" customHeight="1" x14ac:dyDescent="0.25">
      <c r="C7" s="7">
        <v>4</v>
      </c>
      <c r="D7" s="24"/>
      <c r="E7" s="24"/>
      <c r="F7" s="8"/>
      <c r="G7" s="8"/>
      <c r="H7" s="29"/>
      <c r="I7" s="47"/>
      <c r="J7" s="47"/>
      <c r="K7" s="47"/>
      <c r="L7" s="9"/>
    </row>
    <row r="8" spans="3:15" ht="20.25" customHeight="1" x14ac:dyDescent="0.25">
      <c r="C8" s="7">
        <v>5</v>
      </c>
      <c r="D8" s="24"/>
      <c r="E8" s="24"/>
      <c r="F8" s="8"/>
      <c r="G8" s="8"/>
      <c r="H8" s="29"/>
      <c r="I8" s="47"/>
      <c r="J8" s="47"/>
      <c r="K8" s="47"/>
      <c r="L8" s="9"/>
    </row>
    <row r="9" spans="3:15" ht="20.25" customHeight="1" x14ac:dyDescent="0.25">
      <c r="C9" s="7">
        <v>6</v>
      </c>
      <c r="D9" s="24"/>
      <c r="E9" s="24"/>
      <c r="F9" s="8"/>
      <c r="G9" s="8"/>
      <c r="H9" s="29"/>
      <c r="I9" s="47"/>
      <c r="J9" s="47"/>
      <c r="K9" s="47"/>
      <c r="L9" s="9"/>
    </row>
    <row r="10" spans="3:15" ht="20.25" customHeight="1" x14ac:dyDescent="0.25">
      <c r="C10" s="7">
        <v>7</v>
      </c>
      <c r="D10" s="24"/>
      <c r="E10" s="24"/>
      <c r="F10" s="8"/>
      <c r="G10" s="8"/>
      <c r="H10" s="29"/>
      <c r="I10" s="49"/>
      <c r="J10" s="49"/>
      <c r="K10" s="49"/>
      <c r="L10" s="9"/>
    </row>
    <row r="11" spans="3:15" ht="20.25" customHeight="1" x14ac:dyDescent="0.25">
      <c r="C11" s="7">
        <v>8</v>
      </c>
      <c r="D11" s="24"/>
      <c r="E11" s="24"/>
      <c r="F11" s="8"/>
      <c r="G11" s="8"/>
      <c r="H11" s="29"/>
      <c r="I11" s="47"/>
      <c r="J11" s="47"/>
      <c r="K11" s="47"/>
      <c r="L11" s="9"/>
    </row>
    <row r="12" spans="3:15" ht="20.25" customHeight="1" x14ac:dyDescent="0.25">
      <c r="C12" s="7">
        <v>9</v>
      </c>
      <c r="D12" s="24"/>
      <c r="E12" s="24"/>
      <c r="F12" s="8"/>
      <c r="G12" s="8"/>
      <c r="H12" s="29"/>
      <c r="I12" s="47"/>
      <c r="J12" s="47"/>
      <c r="K12" s="47"/>
      <c r="L12" s="9"/>
    </row>
    <row r="13" spans="3:15" ht="20.25" customHeight="1" x14ac:dyDescent="0.25">
      <c r="C13" s="7">
        <v>10</v>
      </c>
      <c r="D13" s="24"/>
      <c r="E13" s="24"/>
      <c r="F13" s="8"/>
      <c r="G13" s="8"/>
      <c r="H13" s="29"/>
      <c r="I13" s="47"/>
      <c r="J13" s="47"/>
      <c r="K13" s="47"/>
      <c r="L13" s="9"/>
    </row>
    <row r="14" spans="3:15" ht="20.25" customHeight="1" x14ac:dyDescent="0.25">
      <c r="C14" s="7">
        <v>11</v>
      </c>
      <c r="D14" s="24"/>
      <c r="E14" s="24"/>
      <c r="F14" s="8"/>
      <c r="G14" s="8"/>
      <c r="H14" s="29"/>
      <c r="I14" s="47"/>
      <c r="J14" s="47"/>
      <c r="K14" s="47"/>
      <c r="L14" s="9"/>
    </row>
    <row r="15" spans="3:15" ht="20.25" customHeight="1" x14ac:dyDescent="0.25">
      <c r="C15" s="7">
        <v>12</v>
      </c>
      <c r="D15" s="24"/>
      <c r="E15" s="24"/>
      <c r="F15" s="8"/>
      <c r="G15" s="8"/>
      <c r="H15" s="29"/>
      <c r="I15" s="47"/>
      <c r="J15" s="47"/>
      <c r="K15" s="47"/>
      <c r="L15" s="9"/>
    </row>
    <row r="16" spans="3:15" ht="20.25" customHeight="1" x14ac:dyDescent="0.25">
      <c r="C16" s="7">
        <v>13</v>
      </c>
      <c r="D16" s="24"/>
      <c r="E16" s="24"/>
      <c r="F16" s="8"/>
      <c r="G16" s="8"/>
      <c r="H16" s="29"/>
      <c r="I16" s="49"/>
      <c r="J16" s="49"/>
      <c r="K16" s="49"/>
      <c r="L16" s="9"/>
    </row>
    <row r="17" spans="3:12" ht="20.25" customHeight="1" x14ac:dyDescent="0.25">
      <c r="C17" s="7">
        <v>14</v>
      </c>
      <c r="D17" s="24"/>
      <c r="E17" s="24"/>
      <c r="F17" s="8"/>
      <c r="G17" s="8"/>
      <c r="H17" s="29"/>
      <c r="I17" s="47"/>
      <c r="J17" s="47"/>
      <c r="K17" s="47"/>
      <c r="L17" s="9"/>
    </row>
    <row r="18" spans="3:12" ht="20.25" customHeight="1" x14ac:dyDescent="0.25">
      <c r="C18" s="7">
        <v>15</v>
      </c>
      <c r="D18" s="24"/>
      <c r="E18" s="24"/>
      <c r="F18" s="8"/>
      <c r="G18" s="8"/>
      <c r="H18" s="29"/>
      <c r="I18" s="47"/>
      <c r="J18" s="47"/>
      <c r="K18" s="47"/>
      <c r="L18" s="9"/>
    </row>
    <row r="19" spans="3:12" ht="20.25" customHeight="1" x14ac:dyDescent="0.25">
      <c r="C19" s="7">
        <v>16</v>
      </c>
      <c r="D19" s="24"/>
      <c r="E19" s="24"/>
      <c r="F19" s="8"/>
      <c r="G19" s="8"/>
      <c r="H19" s="29"/>
      <c r="I19" s="47"/>
      <c r="J19" s="47"/>
      <c r="K19" s="47"/>
      <c r="L19" s="9"/>
    </row>
    <row r="20" spans="3:12" ht="20.25" customHeight="1" x14ac:dyDescent="0.25">
      <c r="C20" s="7">
        <v>17</v>
      </c>
      <c r="D20" s="24"/>
      <c r="E20" s="24"/>
      <c r="F20" s="8"/>
      <c r="G20" s="8"/>
      <c r="H20" s="29"/>
      <c r="I20" s="47"/>
      <c r="J20" s="47"/>
      <c r="K20" s="47"/>
      <c r="L20" s="9"/>
    </row>
    <row r="21" spans="3:12" ht="20.25" customHeight="1" x14ac:dyDescent="0.25">
      <c r="C21" s="7">
        <v>18</v>
      </c>
      <c r="D21" s="24"/>
      <c r="E21" s="24"/>
      <c r="F21" s="8"/>
      <c r="G21" s="8"/>
      <c r="H21" s="29"/>
      <c r="I21" s="47"/>
      <c r="J21" s="47"/>
      <c r="K21" s="47"/>
      <c r="L21" s="9"/>
    </row>
    <row r="22" spans="3:12" ht="20.25" customHeight="1" x14ac:dyDescent="0.25">
      <c r="C22" s="7">
        <v>19</v>
      </c>
      <c r="D22" s="24"/>
      <c r="E22" s="24"/>
      <c r="F22" s="8"/>
      <c r="G22" s="8"/>
      <c r="H22" s="29"/>
      <c r="I22" s="49"/>
      <c r="J22" s="49"/>
      <c r="K22" s="49"/>
      <c r="L22" s="9"/>
    </row>
    <row r="23" spans="3:12" ht="20.25" customHeight="1" x14ac:dyDescent="0.25">
      <c r="C23" s="33">
        <v>20</v>
      </c>
      <c r="D23" s="34"/>
      <c r="E23" s="34"/>
      <c r="F23" s="35"/>
      <c r="G23" s="35"/>
      <c r="H23" s="36"/>
      <c r="I23" s="50"/>
      <c r="J23" s="50"/>
      <c r="K23" s="50"/>
      <c r="L23" s="37"/>
    </row>
    <row r="24" spans="3:12" ht="15.75" x14ac:dyDescent="0.25">
      <c r="C24" s="38">
        <v>21</v>
      </c>
      <c r="D24" s="40"/>
      <c r="E24" s="34"/>
      <c r="F24" s="34"/>
      <c r="G24" s="35"/>
      <c r="H24" s="35"/>
      <c r="I24" s="50"/>
      <c r="J24" s="50"/>
      <c r="K24" s="50"/>
      <c r="L24" s="37"/>
    </row>
    <row r="25" spans="3:12" ht="15.75" x14ac:dyDescent="0.25">
      <c r="C25" s="39">
        <v>22</v>
      </c>
      <c r="D25" s="40"/>
      <c r="E25" s="34"/>
      <c r="F25" s="34"/>
      <c r="G25" s="35"/>
      <c r="H25" s="35"/>
      <c r="I25" s="50"/>
      <c r="J25" s="50"/>
      <c r="K25" s="50"/>
      <c r="L25" s="37"/>
    </row>
    <row r="26" spans="3:12" ht="15.75" x14ac:dyDescent="0.25">
      <c r="C26" s="38">
        <v>23</v>
      </c>
      <c r="D26" s="40"/>
      <c r="E26" s="34"/>
      <c r="F26" s="34"/>
      <c r="G26" s="35"/>
      <c r="H26" s="35"/>
      <c r="I26" s="50"/>
      <c r="J26" s="50"/>
      <c r="K26" s="50"/>
      <c r="L26" s="37"/>
    </row>
    <row r="27" spans="3:12" ht="15.75" x14ac:dyDescent="0.25">
      <c r="C27" s="39">
        <v>24</v>
      </c>
      <c r="D27" s="40"/>
      <c r="E27" s="34"/>
      <c r="F27" s="34"/>
      <c r="G27" s="35"/>
      <c r="H27" s="35"/>
      <c r="I27" s="50"/>
      <c r="J27" s="50"/>
      <c r="K27" s="50"/>
      <c r="L27" s="37"/>
    </row>
    <row r="28" spans="3:12" ht="15.75" x14ac:dyDescent="0.25">
      <c r="C28" s="38">
        <v>25</v>
      </c>
      <c r="D28" s="40"/>
      <c r="E28" s="34"/>
      <c r="F28" s="34"/>
      <c r="G28" s="35"/>
      <c r="H28" s="35"/>
      <c r="I28" s="50"/>
      <c r="J28" s="50"/>
      <c r="K28" s="50"/>
      <c r="L28" s="37"/>
    </row>
    <row r="29" spans="3:12" ht="15.75" x14ac:dyDescent="0.25">
      <c r="C29" s="39">
        <v>26</v>
      </c>
      <c r="D29" s="40"/>
      <c r="E29" s="34"/>
      <c r="F29" s="34"/>
      <c r="G29" s="35"/>
      <c r="H29" s="35"/>
      <c r="I29" s="50"/>
      <c r="J29" s="50"/>
      <c r="K29" s="50"/>
      <c r="L29" s="37"/>
    </row>
    <row r="30" spans="3:12" ht="15.75" x14ac:dyDescent="0.25">
      <c r="C30" s="38">
        <v>27</v>
      </c>
      <c r="D30" s="40"/>
      <c r="E30" s="34"/>
      <c r="F30" s="34"/>
      <c r="G30" s="35"/>
      <c r="H30" s="35"/>
      <c r="I30" s="50"/>
      <c r="J30" s="50"/>
      <c r="K30" s="50"/>
      <c r="L30" s="37"/>
    </row>
    <row r="31" spans="3:12" ht="15.75" x14ac:dyDescent="0.25">
      <c r="C31" s="39">
        <v>28</v>
      </c>
      <c r="D31" s="40"/>
      <c r="E31" s="34"/>
      <c r="F31" s="34"/>
      <c r="G31" s="35"/>
      <c r="H31" s="35"/>
      <c r="I31" s="50"/>
      <c r="J31" s="50"/>
      <c r="K31" s="50"/>
      <c r="L31" s="37"/>
    </row>
    <row r="32" spans="3:12" ht="15.75" x14ac:dyDescent="0.25">
      <c r="C32" s="38">
        <v>29</v>
      </c>
      <c r="D32" s="40"/>
      <c r="E32" s="34"/>
      <c r="F32" s="34"/>
      <c r="G32" s="35"/>
      <c r="H32" s="35"/>
      <c r="I32" s="50"/>
      <c r="J32" s="50"/>
      <c r="K32" s="50"/>
      <c r="L32" s="37"/>
    </row>
    <row r="33" spans="3:12" ht="15.75" x14ac:dyDescent="0.25">
      <c r="C33" s="39">
        <v>30</v>
      </c>
      <c r="D33" s="40"/>
      <c r="E33" s="34"/>
      <c r="F33" s="34"/>
      <c r="G33" s="35"/>
      <c r="H33" s="35"/>
      <c r="I33" s="50"/>
      <c r="J33" s="50"/>
      <c r="K33" s="50"/>
      <c r="L33" s="37"/>
    </row>
    <row r="34" spans="3:12" ht="15.75" x14ac:dyDescent="0.25">
      <c r="C34" s="38">
        <v>31</v>
      </c>
      <c r="D34" s="40"/>
      <c r="E34" s="34"/>
      <c r="F34" s="34"/>
      <c r="G34" s="35"/>
      <c r="H34" s="35"/>
      <c r="I34" s="50"/>
      <c r="J34" s="50"/>
      <c r="K34" s="50"/>
      <c r="L34" s="37"/>
    </row>
    <row r="35" spans="3:12" ht="15.75" x14ac:dyDescent="0.25">
      <c r="C35" s="39">
        <v>32</v>
      </c>
      <c r="D35" s="40"/>
      <c r="E35" s="34"/>
      <c r="F35" s="34"/>
      <c r="G35" s="35"/>
      <c r="H35" s="35"/>
      <c r="I35" s="50"/>
      <c r="J35" s="50"/>
      <c r="K35" s="50"/>
      <c r="L35" s="37"/>
    </row>
    <row r="36" spans="3:12" ht="15.75" x14ac:dyDescent="0.25">
      <c r="C36" s="38">
        <v>33</v>
      </c>
      <c r="D36" s="40"/>
      <c r="E36" s="34"/>
      <c r="F36" s="34"/>
      <c r="G36" s="35"/>
      <c r="H36" s="35"/>
      <c r="I36" s="50"/>
      <c r="J36" s="50"/>
      <c r="K36" s="50"/>
      <c r="L36" s="37"/>
    </row>
    <row r="37" spans="3:12" ht="15.75" x14ac:dyDescent="0.25">
      <c r="C37" s="39">
        <v>34</v>
      </c>
      <c r="D37" s="40"/>
      <c r="E37" s="34"/>
      <c r="F37" s="34"/>
      <c r="G37" s="35"/>
      <c r="H37" s="35"/>
      <c r="I37" s="50"/>
      <c r="J37" s="50"/>
      <c r="K37" s="50"/>
      <c r="L37" s="37"/>
    </row>
    <row r="38" spans="3:12" ht="15.75" x14ac:dyDescent="0.25">
      <c r="C38" s="38">
        <v>35</v>
      </c>
      <c r="D38" s="40"/>
      <c r="E38" s="34"/>
      <c r="F38" s="34"/>
      <c r="G38" s="35"/>
      <c r="H38" s="35"/>
      <c r="I38" s="50"/>
      <c r="J38" s="50"/>
      <c r="K38" s="50"/>
      <c r="L38" s="37"/>
    </row>
    <row r="39" spans="3:12" ht="15.75" x14ac:dyDescent="0.25">
      <c r="C39" s="39">
        <v>36</v>
      </c>
      <c r="D39" s="40"/>
      <c r="E39" s="34"/>
      <c r="F39" s="34"/>
      <c r="G39" s="35"/>
      <c r="H39" s="35"/>
      <c r="I39" s="50"/>
      <c r="J39" s="50"/>
      <c r="K39" s="50"/>
      <c r="L39" s="37"/>
    </row>
    <row r="40" spans="3:12" ht="15.75" x14ac:dyDescent="0.25">
      <c r="C40" s="38">
        <v>37</v>
      </c>
      <c r="D40" s="40"/>
      <c r="E40" s="34"/>
      <c r="F40" s="34"/>
      <c r="G40" s="35"/>
      <c r="H40" s="35"/>
      <c r="I40" s="50"/>
      <c r="J40" s="50"/>
      <c r="K40" s="50"/>
      <c r="L40" s="37"/>
    </row>
    <row r="41" spans="3:12" ht="15.75" x14ac:dyDescent="0.25">
      <c r="C41" s="39">
        <v>38</v>
      </c>
      <c r="D41" s="40"/>
      <c r="E41" s="34"/>
      <c r="F41" s="34"/>
      <c r="G41" s="35"/>
      <c r="H41" s="35"/>
      <c r="I41" s="50"/>
      <c r="J41" s="50"/>
      <c r="K41" s="50"/>
      <c r="L41" s="37"/>
    </row>
    <row r="42" spans="3:12" ht="15.75" x14ac:dyDescent="0.25">
      <c r="C42" s="38">
        <v>39</v>
      </c>
      <c r="D42" s="40"/>
      <c r="E42" s="34"/>
      <c r="F42" s="34"/>
      <c r="G42" s="35"/>
      <c r="H42" s="35"/>
      <c r="I42" s="50"/>
      <c r="J42" s="50"/>
      <c r="K42" s="50"/>
      <c r="L42" s="37"/>
    </row>
    <row r="43" spans="3:12" ht="15.75" x14ac:dyDescent="0.25">
      <c r="C43" s="39">
        <v>40</v>
      </c>
      <c r="D43" s="40"/>
      <c r="E43" s="34"/>
      <c r="F43" s="34"/>
      <c r="G43" s="35"/>
      <c r="H43" s="35"/>
      <c r="I43" s="50"/>
      <c r="J43" s="50"/>
      <c r="K43" s="50"/>
      <c r="L43" s="37"/>
    </row>
    <row r="44" spans="3:12" ht="15.75" x14ac:dyDescent="0.25">
      <c r="C44" s="38">
        <v>41</v>
      </c>
      <c r="D44" s="40"/>
      <c r="E44" s="34"/>
      <c r="F44" s="34"/>
      <c r="G44" s="35"/>
      <c r="H44" s="35"/>
      <c r="I44" s="50"/>
      <c r="J44" s="50"/>
      <c r="K44" s="50"/>
      <c r="L44" s="37"/>
    </row>
    <row r="45" spans="3:12" ht="15.75" x14ac:dyDescent="0.25">
      <c r="C45" s="39">
        <v>42</v>
      </c>
      <c r="D45" s="40"/>
      <c r="E45" s="34"/>
      <c r="F45" s="34"/>
      <c r="G45" s="35"/>
      <c r="H45" s="35"/>
      <c r="I45" s="50"/>
      <c r="J45" s="50"/>
      <c r="K45" s="50"/>
      <c r="L45" s="37"/>
    </row>
    <row r="46" spans="3:12" ht="15.75" x14ac:dyDescent="0.25">
      <c r="C46" s="38">
        <v>43</v>
      </c>
      <c r="D46" s="40"/>
      <c r="E46" s="34"/>
      <c r="F46" s="34"/>
      <c r="G46" s="35"/>
      <c r="H46" s="35"/>
      <c r="I46" s="50"/>
      <c r="J46" s="50"/>
      <c r="K46" s="50"/>
      <c r="L46" s="37"/>
    </row>
    <row r="47" spans="3:12" ht="15.75" x14ac:dyDescent="0.25">
      <c r="C47" s="39">
        <v>44</v>
      </c>
      <c r="D47" s="40"/>
      <c r="E47" s="34"/>
      <c r="F47" s="34"/>
      <c r="G47" s="35"/>
      <c r="H47" s="35"/>
      <c r="I47" s="50"/>
      <c r="J47" s="50"/>
      <c r="K47" s="50"/>
      <c r="L47" s="37"/>
    </row>
    <row r="48" spans="3:12" ht="15.75" x14ac:dyDescent="0.25">
      <c r="C48" s="38">
        <v>45</v>
      </c>
      <c r="D48" s="40"/>
      <c r="E48" s="34"/>
      <c r="F48" s="34"/>
      <c r="G48" s="35"/>
      <c r="H48" s="35"/>
      <c r="I48" s="50"/>
      <c r="J48" s="50"/>
      <c r="K48" s="50"/>
      <c r="L48" s="37"/>
    </row>
    <row r="49" spans="3:12" ht="15.75" x14ac:dyDescent="0.25">
      <c r="C49" s="39">
        <v>46</v>
      </c>
      <c r="D49" s="40"/>
      <c r="E49" s="34"/>
      <c r="F49" s="34"/>
      <c r="G49" s="35"/>
      <c r="H49" s="35"/>
      <c r="I49" s="50"/>
      <c r="J49" s="50"/>
      <c r="K49" s="50"/>
      <c r="L49" s="37"/>
    </row>
    <row r="50" spans="3:12" ht="15.75" x14ac:dyDescent="0.25">
      <c r="C50" s="38">
        <v>47</v>
      </c>
      <c r="D50" s="40"/>
      <c r="E50" s="34"/>
      <c r="F50" s="34"/>
      <c r="G50" s="35"/>
      <c r="H50" s="35"/>
      <c r="I50" s="50"/>
      <c r="J50" s="50"/>
      <c r="K50" s="50"/>
      <c r="L50" s="37"/>
    </row>
    <row r="51" spans="3:12" ht="15.75" x14ac:dyDescent="0.25">
      <c r="C51" s="39">
        <v>48</v>
      </c>
      <c r="D51" s="40"/>
      <c r="E51" s="34"/>
      <c r="F51" s="34"/>
      <c r="G51" s="35"/>
      <c r="H51" s="35"/>
      <c r="I51" s="50"/>
      <c r="J51" s="50"/>
      <c r="K51" s="50"/>
      <c r="L51" s="37"/>
    </row>
    <row r="52" spans="3:12" ht="15.75" x14ac:dyDescent="0.25">
      <c r="C52" s="38">
        <v>49</v>
      </c>
      <c r="D52" s="40"/>
      <c r="E52" s="34"/>
      <c r="F52" s="34"/>
      <c r="G52" s="35"/>
      <c r="H52" s="35"/>
      <c r="I52" s="50"/>
      <c r="J52" s="50"/>
      <c r="K52" s="50"/>
      <c r="L52" s="37"/>
    </row>
    <row r="53" spans="3:12" ht="15.75" x14ac:dyDescent="0.25">
      <c r="C53" s="39">
        <v>50</v>
      </c>
      <c r="D53" s="40"/>
      <c r="E53" s="34"/>
      <c r="F53" s="34"/>
      <c r="G53" s="35"/>
      <c r="H53" s="35"/>
      <c r="I53" s="50"/>
      <c r="J53" s="50"/>
      <c r="K53" s="50"/>
      <c r="L53" s="37"/>
    </row>
    <row r="54" spans="3:12" ht="15.75" x14ac:dyDescent="0.25">
      <c r="C54" s="38">
        <v>51</v>
      </c>
      <c r="D54" s="40"/>
      <c r="E54" s="34"/>
      <c r="F54" s="34"/>
      <c r="G54" s="35"/>
      <c r="H54" s="35"/>
      <c r="I54" s="50"/>
      <c r="J54" s="50"/>
      <c r="K54" s="50"/>
      <c r="L54" s="37"/>
    </row>
    <row r="55" spans="3:12" ht="15.75" x14ac:dyDescent="0.25">
      <c r="C55" s="39">
        <v>52</v>
      </c>
      <c r="D55" s="40"/>
      <c r="E55" s="34"/>
      <c r="F55" s="34"/>
      <c r="G55" s="35"/>
      <c r="H55" s="35"/>
      <c r="I55" s="50"/>
      <c r="J55" s="50"/>
      <c r="K55" s="50"/>
      <c r="L55" s="37"/>
    </row>
    <row r="56" spans="3:12" ht="15.75" x14ac:dyDescent="0.25">
      <c r="C56" s="38">
        <v>53</v>
      </c>
      <c r="D56" s="40"/>
      <c r="E56" s="34"/>
      <c r="F56" s="34"/>
      <c r="G56" s="35"/>
      <c r="H56" s="35"/>
      <c r="I56" s="50"/>
      <c r="J56" s="50"/>
      <c r="K56" s="50"/>
      <c r="L56" s="37"/>
    </row>
    <row r="57" spans="3:12" ht="15.75" x14ac:dyDescent="0.25">
      <c r="C57" s="39">
        <v>54</v>
      </c>
      <c r="D57" s="40"/>
      <c r="E57" s="34"/>
      <c r="F57" s="34"/>
      <c r="G57" s="35"/>
      <c r="H57" s="35"/>
      <c r="I57" s="50"/>
      <c r="J57" s="50"/>
      <c r="K57" s="50"/>
      <c r="L57" s="37"/>
    </row>
    <row r="58" spans="3:12" ht="15.75" x14ac:dyDescent="0.25">
      <c r="C58" s="38">
        <v>55</v>
      </c>
      <c r="D58" s="40"/>
      <c r="E58" s="34"/>
      <c r="F58" s="34"/>
      <c r="G58" s="35"/>
      <c r="H58" s="35"/>
      <c r="I58" s="50"/>
      <c r="J58" s="50"/>
      <c r="K58" s="50"/>
      <c r="L58" s="37"/>
    </row>
    <row r="59" spans="3:12" ht="15.75" x14ac:dyDescent="0.25">
      <c r="C59" s="39">
        <v>56</v>
      </c>
      <c r="D59" s="40"/>
      <c r="E59" s="34"/>
      <c r="F59" s="34"/>
      <c r="G59" s="35"/>
      <c r="H59" s="35"/>
      <c r="I59" s="50"/>
      <c r="J59" s="50"/>
      <c r="K59" s="50"/>
      <c r="L59" s="37"/>
    </row>
    <row r="60" spans="3:12" ht="15.75" x14ac:dyDescent="0.25">
      <c r="C60" s="38">
        <v>57</v>
      </c>
      <c r="D60" s="40"/>
      <c r="E60" s="34"/>
      <c r="F60" s="34"/>
      <c r="G60" s="35"/>
      <c r="H60" s="35"/>
      <c r="I60" s="50"/>
      <c r="J60" s="50"/>
      <c r="K60" s="50"/>
      <c r="L60" s="37"/>
    </row>
    <row r="61" spans="3:12" ht="15.75" x14ac:dyDescent="0.25">
      <c r="C61" s="39">
        <v>58</v>
      </c>
      <c r="D61" s="40"/>
      <c r="E61" s="34"/>
      <c r="F61" s="34"/>
      <c r="G61" s="35"/>
      <c r="H61" s="35"/>
      <c r="I61" s="50"/>
      <c r="J61" s="50"/>
      <c r="K61" s="50"/>
      <c r="L61" s="37"/>
    </row>
    <row r="62" spans="3:12" ht="15.75" x14ac:dyDescent="0.25">
      <c r="C62" s="38">
        <v>59</v>
      </c>
      <c r="D62" s="40"/>
      <c r="E62" s="34"/>
      <c r="F62" s="34"/>
      <c r="G62" s="35"/>
      <c r="H62" s="35"/>
      <c r="I62" s="50"/>
      <c r="J62" s="50"/>
      <c r="K62" s="50"/>
      <c r="L62" s="37"/>
    </row>
    <row r="63" spans="3:12" ht="15.75" x14ac:dyDescent="0.25">
      <c r="C63" s="39">
        <v>60</v>
      </c>
      <c r="D63" s="40"/>
      <c r="E63" s="34"/>
      <c r="F63" s="34"/>
      <c r="G63" s="35"/>
      <c r="H63" s="35"/>
      <c r="I63" s="50"/>
      <c r="J63" s="50"/>
      <c r="K63" s="50"/>
      <c r="L63" s="37"/>
    </row>
    <row r="64" spans="3:12" ht="15.75" x14ac:dyDescent="0.25">
      <c r="C64" s="38">
        <v>61</v>
      </c>
      <c r="D64" s="40"/>
      <c r="E64" s="34"/>
      <c r="F64" s="34"/>
      <c r="G64" s="35"/>
      <c r="H64" s="35"/>
      <c r="I64" s="50"/>
      <c r="J64" s="50"/>
      <c r="K64" s="50"/>
      <c r="L64" s="37"/>
    </row>
    <row r="65" spans="3:12" ht="15.75" x14ac:dyDescent="0.25">
      <c r="C65" s="39">
        <v>62</v>
      </c>
      <c r="D65" s="40"/>
      <c r="E65" s="34"/>
      <c r="F65" s="34"/>
      <c r="G65" s="35"/>
      <c r="H65" s="35"/>
      <c r="I65" s="50"/>
      <c r="J65" s="50"/>
      <c r="K65" s="50"/>
      <c r="L65" s="37"/>
    </row>
    <row r="66" spans="3:12" ht="15.75" x14ac:dyDescent="0.25">
      <c r="C66" s="38">
        <v>63</v>
      </c>
      <c r="D66" s="40"/>
      <c r="E66" s="34"/>
      <c r="F66" s="34"/>
      <c r="G66" s="35"/>
      <c r="H66" s="35"/>
      <c r="I66" s="50"/>
      <c r="J66" s="50"/>
      <c r="K66" s="50"/>
      <c r="L66" s="37"/>
    </row>
    <row r="67" spans="3:12" ht="15.75" x14ac:dyDescent="0.25">
      <c r="C67" s="39">
        <v>64</v>
      </c>
      <c r="D67" s="40"/>
      <c r="E67" s="34"/>
      <c r="F67" s="34"/>
      <c r="G67" s="35"/>
      <c r="H67" s="35"/>
      <c r="I67" s="50"/>
      <c r="J67" s="50"/>
      <c r="K67" s="50"/>
      <c r="L67" s="37"/>
    </row>
    <row r="68" spans="3:12" ht="15.75" x14ac:dyDescent="0.25">
      <c r="C68" s="38">
        <v>65</v>
      </c>
      <c r="D68" s="40"/>
      <c r="E68" s="34"/>
      <c r="F68" s="34"/>
      <c r="G68" s="35"/>
      <c r="H68" s="35"/>
      <c r="I68" s="50"/>
      <c r="J68" s="50"/>
      <c r="K68" s="50"/>
      <c r="L68" s="37"/>
    </row>
    <row r="69" spans="3:12" ht="15.75" x14ac:dyDescent="0.25">
      <c r="C69" s="39">
        <v>66</v>
      </c>
      <c r="D69" s="40"/>
      <c r="E69" s="34"/>
      <c r="F69" s="34"/>
      <c r="G69" s="35"/>
      <c r="H69" s="35"/>
      <c r="I69" s="50"/>
      <c r="J69" s="50"/>
      <c r="K69" s="50"/>
      <c r="L69" s="37"/>
    </row>
    <row r="70" spans="3:12" ht="15.75" x14ac:dyDescent="0.25">
      <c r="C70" s="38">
        <v>67</v>
      </c>
      <c r="D70" s="40"/>
      <c r="E70" s="34"/>
      <c r="F70" s="34"/>
      <c r="G70" s="35"/>
      <c r="H70" s="35"/>
      <c r="I70" s="50"/>
      <c r="J70" s="50"/>
      <c r="K70" s="50"/>
      <c r="L70" s="37"/>
    </row>
    <row r="71" spans="3:12" ht="15.75" x14ac:dyDescent="0.25">
      <c r="C71" s="39">
        <v>68</v>
      </c>
      <c r="D71" s="40"/>
      <c r="E71" s="34"/>
      <c r="F71" s="34"/>
      <c r="G71" s="35"/>
      <c r="H71" s="35"/>
      <c r="I71" s="50"/>
      <c r="J71" s="50"/>
      <c r="K71" s="50"/>
      <c r="L71" s="37"/>
    </row>
    <row r="72" spans="3:12" ht="15.75" x14ac:dyDescent="0.25">
      <c r="C72" s="38">
        <v>69</v>
      </c>
      <c r="D72" s="40"/>
      <c r="E72" s="34"/>
      <c r="F72" s="34"/>
      <c r="G72" s="35"/>
      <c r="H72" s="35"/>
      <c r="I72" s="50"/>
      <c r="J72" s="50"/>
      <c r="K72" s="50"/>
      <c r="L72" s="37"/>
    </row>
    <row r="73" spans="3:12" ht="15.75" x14ac:dyDescent="0.25">
      <c r="C73" s="39">
        <v>70</v>
      </c>
      <c r="D73" s="40"/>
      <c r="E73" s="34"/>
      <c r="F73" s="34"/>
      <c r="G73" s="35"/>
      <c r="H73" s="35"/>
      <c r="I73" s="50"/>
      <c r="J73" s="50"/>
      <c r="K73" s="50"/>
      <c r="L73" s="37"/>
    </row>
    <row r="74" spans="3:12" ht="15.75" x14ac:dyDescent="0.25">
      <c r="C74" s="38">
        <v>71</v>
      </c>
      <c r="D74" s="40"/>
      <c r="E74" s="34"/>
      <c r="F74" s="34"/>
      <c r="G74" s="35"/>
      <c r="H74" s="35"/>
      <c r="I74" s="50"/>
      <c r="J74" s="50"/>
      <c r="K74" s="50"/>
      <c r="L74" s="37"/>
    </row>
    <row r="75" spans="3:12" ht="15.75" x14ac:dyDescent="0.25">
      <c r="C75" s="39">
        <v>72</v>
      </c>
      <c r="D75" s="40"/>
      <c r="E75" s="34"/>
      <c r="F75" s="34"/>
      <c r="G75" s="35"/>
      <c r="H75" s="35"/>
      <c r="I75" s="50"/>
      <c r="J75" s="50"/>
      <c r="K75" s="50"/>
      <c r="L75" s="37"/>
    </row>
    <row r="76" spans="3:12" ht="15.75" x14ac:dyDescent="0.25">
      <c r="C76" s="38">
        <v>73</v>
      </c>
      <c r="D76" s="40"/>
      <c r="E76" s="34"/>
      <c r="F76" s="34"/>
      <c r="G76" s="35"/>
      <c r="H76" s="35"/>
      <c r="I76" s="50"/>
      <c r="J76" s="50"/>
      <c r="K76" s="50"/>
      <c r="L76" s="37"/>
    </row>
    <row r="77" spans="3:12" ht="15.75" x14ac:dyDescent="0.25">
      <c r="C77" s="39">
        <v>74</v>
      </c>
      <c r="D77" s="40"/>
      <c r="E77" s="34"/>
      <c r="F77" s="34"/>
      <c r="G77" s="35"/>
      <c r="H77" s="35"/>
      <c r="I77" s="50"/>
      <c r="J77" s="50"/>
      <c r="K77" s="50"/>
      <c r="L77" s="37"/>
    </row>
    <row r="78" spans="3:12" ht="15.75" x14ac:dyDescent="0.25">
      <c r="C78" s="38">
        <v>75</v>
      </c>
      <c r="D78" s="40"/>
      <c r="E78" s="34"/>
      <c r="F78" s="34"/>
      <c r="G78" s="35"/>
      <c r="H78" s="35"/>
      <c r="I78" s="50"/>
      <c r="J78" s="50"/>
      <c r="K78" s="50"/>
      <c r="L78" s="37"/>
    </row>
    <row r="79" spans="3:12" ht="15.75" x14ac:dyDescent="0.25">
      <c r="C79" s="39">
        <v>76</v>
      </c>
      <c r="D79" s="40"/>
      <c r="E79" s="34"/>
      <c r="F79" s="34"/>
      <c r="G79" s="35"/>
      <c r="H79" s="35"/>
      <c r="I79" s="50"/>
      <c r="J79" s="50"/>
      <c r="K79" s="50"/>
      <c r="L79" s="37"/>
    </row>
    <row r="80" spans="3:12" ht="15.75" x14ac:dyDescent="0.25">
      <c r="C80" s="38">
        <v>77</v>
      </c>
      <c r="D80" s="40"/>
      <c r="E80" s="34"/>
      <c r="F80" s="34"/>
      <c r="G80" s="35"/>
      <c r="H80" s="35"/>
      <c r="I80" s="50"/>
      <c r="J80" s="50"/>
      <c r="K80" s="50"/>
      <c r="L80" s="37"/>
    </row>
    <row r="81" spans="3:12" ht="15.75" x14ac:dyDescent="0.25">
      <c r="C81" s="39">
        <v>78</v>
      </c>
      <c r="D81" s="40"/>
      <c r="E81" s="34"/>
      <c r="F81" s="34"/>
      <c r="G81" s="35"/>
      <c r="H81" s="35"/>
      <c r="I81" s="50"/>
      <c r="J81" s="50"/>
      <c r="K81" s="50"/>
      <c r="L81" s="37"/>
    </row>
    <row r="82" spans="3:12" ht="15.75" x14ac:dyDescent="0.25">
      <c r="C82" s="38">
        <v>79</v>
      </c>
      <c r="D82" s="40"/>
      <c r="E82" s="34"/>
      <c r="F82" s="34"/>
      <c r="G82" s="35"/>
      <c r="H82" s="35"/>
      <c r="I82" s="50"/>
      <c r="J82" s="50"/>
      <c r="K82" s="50"/>
      <c r="L82" s="37"/>
    </row>
    <row r="83" spans="3:12" ht="15.75" x14ac:dyDescent="0.25">
      <c r="C83" s="39">
        <v>80</v>
      </c>
      <c r="D83" s="40"/>
      <c r="E83" s="34"/>
      <c r="F83" s="34"/>
      <c r="G83" s="35"/>
      <c r="H83" s="35"/>
      <c r="I83" s="50"/>
      <c r="J83" s="50"/>
      <c r="K83" s="50"/>
      <c r="L83" s="37"/>
    </row>
    <row r="84" spans="3:12" ht="15.75" x14ac:dyDescent="0.25">
      <c r="C84" s="38">
        <v>81</v>
      </c>
      <c r="D84" s="40"/>
      <c r="E84" s="34"/>
      <c r="F84" s="34"/>
      <c r="G84" s="35"/>
      <c r="H84" s="35"/>
      <c r="I84" s="50"/>
      <c r="J84" s="50"/>
      <c r="K84" s="50"/>
      <c r="L84" s="37"/>
    </row>
    <row r="85" spans="3:12" ht="15.75" x14ac:dyDescent="0.25">
      <c r="C85" s="39">
        <v>82</v>
      </c>
      <c r="D85" s="40"/>
      <c r="E85" s="34"/>
      <c r="F85" s="34"/>
      <c r="G85" s="35"/>
      <c r="H85" s="35"/>
      <c r="I85" s="50"/>
      <c r="J85" s="50"/>
      <c r="K85" s="50"/>
      <c r="L85" s="37"/>
    </row>
    <row r="86" spans="3:12" ht="15.75" x14ac:dyDescent="0.25">
      <c r="C86" s="38">
        <v>83</v>
      </c>
      <c r="D86" s="40"/>
      <c r="E86" s="34"/>
      <c r="F86" s="34"/>
      <c r="G86" s="35"/>
      <c r="H86" s="35"/>
      <c r="I86" s="50"/>
      <c r="J86" s="50"/>
      <c r="K86" s="50"/>
      <c r="L86" s="37"/>
    </row>
    <row r="87" spans="3:12" ht="15.75" x14ac:dyDescent="0.25">
      <c r="C87" s="39">
        <v>84</v>
      </c>
      <c r="D87" s="40"/>
      <c r="E87" s="34"/>
      <c r="F87" s="34"/>
      <c r="G87" s="35"/>
      <c r="H87" s="35"/>
      <c r="I87" s="50"/>
      <c r="J87" s="50"/>
      <c r="K87" s="50"/>
      <c r="L87" s="37"/>
    </row>
    <row r="88" spans="3:12" ht="15.75" x14ac:dyDescent="0.25">
      <c r="C88" s="38">
        <v>85</v>
      </c>
      <c r="D88" s="40"/>
      <c r="E88" s="34"/>
      <c r="F88" s="34"/>
      <c r="G88" s="35"/>
      <c r="H88" s="35"/>
      <c r="I88" s="50"/>
      <c r="J88" s="50"/>
      <c r="K88" s="50"/>
      <c r="L88" s="37"/>
    </row>
    <row r="89" spans="3:12" ht="15.75" x14ac:dyDescent="0.25">
      <c r="C89" s="39">
        <v>86</v>
      </c>
      <c r="D89" s="40"/>
      <c r="E89" s="34"/>
      <c r="F89" s="34"/>
      <c r="G89" s="35"/>
      <c r="H89" s="35"/>
      <c r="I89" s="50"/>
      <c r="J89" s="50"/>
      <c r="K89" s="50"/>
      <c r="L89" s="37"/>
    </row>
    <row r="90" spans="3:12" ht="15.75" x14ac:dyDescent="0.25">
      <c r="C90" s="38">
        <v>87</v>
      </c>
      <c r="D90" s="40"/>
      <c r="E90" s="34"/>
      <c r="F90" s="34"/>
      <c r="G90" s="35"/>
      <c r="H90" s="35"/>
      <c r="I90" s="50"/>
      <c r="J90" s="50"/>
      <c r="K90" s="50"/>
      <c r="L90" s="37"/>
    </row>
    <row r="91" spans="3:12" ht="15.75" x14ac:dyDescent="0.25">
      <c r="C91" s="39">
        <v>88</v>
      </c>
      <c r="D91" s="40"/>
      <c r="E91" s="34"/>
      <c r="F91" s="34"/>
      <c r="G91" s="35"/>
      <c r="H91" s="35"/>
      <c r="I91" s="50"/>
      <c r="J91" s="50"/>
      <c r="K91" s="50"/>
      <c r="L91" s="37"/>
    </row>
    <row r="92" spans="3:12" ht="15.75" x14ac:dyDescent="0.25">
      <c r="C92" s="38">
        <v>89</v>
      </c>
      <c r="D92" s="40"/>
      <c r="E92" s="34"/>
      <c r="F92" s="34"/>
      <c r="G92" s="35"/>
      <c r="H92" s="35"/>
      <c r="I92" s="50"/>
      <c r="J92" s="50"/>
      <c r="K92" s="50"/>
      <c r="L92" s="37"/>
    </row>
    <row r="93" spans="3:12" ht="15.75" x14ac:dyDescent="0.25">
      <c r="C93" s="39">
        <v>90</v>
      </c>
      <c r="D93" s="40"/>
      <c r="E93" s="34"/>
      <c r="F93" s="34"/>
      <c r="G93" s="35"/>
      <c r="H93" s="35"/>
      <c r="I93" s="50"/>
      <c r="J93" s="50"/>
      <c r="K93" s="50"/>
      <c r="L93" s="37"/>
    </row>
    <row r="94" spans="3:12" ht="15.75" x14ac:dyDescent="0.25">
      <c r="C94" s="38">
        <v>91</v>
      </c>
      <c r="D94" s="40"/>
      <c r="E94" s="34"/>
      <c r="F94" s="34"/>
      <c r="G94" s="35"/>
      <c r="H94" s="35"/>
      <c r="I94" s="50"/>
      <c r="J94" s="50"/>
      <c r="K94" s="50"/>
      <c r="L94" s="37"/>
    </row>
    <row r="95" spans="3:12" ht="15.75" x14ac:dyDescent="0.25">
      <c r="C95" s="39">
        <v>92</v>
      </c>
      <c r="D95" s="40"/>
      <c r="E95" s="34"/>
      <c r="F95" s="34"/>
      <c r="G95" s="35"/>
      <c r="H95" s="35"/>
      <c r="I95" s="50"/>
      <c r="J95" s="50"/>
      <c r="K95" s="50"/>
      <c r="L95" s="37"/>
    </row>
    <row r="96" spans="3:12" ht="15.75" x14ac:dyDescent="0.25">
      <c r="C96" s="38">
        <v>93</v>
      </c>
      <c r="D96" s="40"/>
      <c r="E96" s="34"/>
      <c r="F96" s="34"/>
      <c r="G96" s="35"/>
      <c r="H96" s="35"/>
      <c r="I96" s="50"/>
      <c r="J96" s="50"/>
      <c r="K96" s="50"/>
      <c r="L96" s="37"/>
    </row>
    <row r="97" spans="3:12" ht="15.75" x14ac:dyDescent="0.25">
      <c r="C97" s="39">
        <v>94</v>
      </c>
      <c r="D97" s="40"/>
      <c r="E97" s="34"/>
      <c r="F97" s="34"/>
      <c r="G97" s="35"/>
      <c r="H97" s="35"/>
      <c r="I97" s="50"/>
      <c r="J97" s="50"/>
      <c r="K97" s="50"/>
      <c r="L97" s="37"/>
    </row>
    <row r="98" spans="3:12" ht="15.75" x14ac:dyDescent="0.25">
      <c r="C98" s="38">
        <v>95</v>
      </c>
      <c r="D98" s="40"/>
      <c r="E98" s="34"/>
      <c r="F98" s="34"/>
      <c r="G98" s="35"/>
      <c r="H98" s="35"/>
      <c r="I98" s="50"/>
      <c r="J98" s="50"/>
      <c r="K98" s="50"/>
      <c r="L98" s="37"/>
    </row>
    <row r="99" spans="3:12" ht="15.75" x14ac:dyDescent="0.25">
      <c r="C99" s="39">
        <v>96</v>
      </c>
      <c r="D99" s="40"/>
      <c r="E99" s="34"/>
      <c r="F99" s="34"/>
      <c r="G99" s="35"/>
      <c r="H99" s="35"/>
      <c r="I99" s="50"/>
      <c r="J99" s="50"/>
      <c r="K99" s="50"/>
      <c r="L99" s="37"/>
    </row>
    <row r="100" spans="3:12" ht="15.75" x14ac:dyDescent="0.25">
      <c r="C100" s="38">
        <v>97</v>
      </c>
      <c r="D100" s="40"/>
      <c r="E100" s="34"/>
      <c r="F100" s="34"/>
      <c r="G100" s="35"/>
      <c r="H100" s="35"/>
      <c r="I100" s="50"/>
      <c r="J100" s="50"/>
      <c r="K100" s="50"/>
      <c r="L100" s="37"/>
    </row>
    <row r="101" spans="3:12" ht="15.75" x14ac:dyDescent="0.25">
      <c r="C101" s="39">
        <v>98</v>
      </c>
      <c r="D101" s="40"/>
      <c r="E101" s="34"/>
      <c r="F101" s="34"/>
      <c r="G101" s="35"/>
      <c r="H101" s="35"/>
      <c r="I101" s="50"/>
      <c r="J101" s="50"/>
      <c r="K101" s="50"/>
      <c r="L101" s="37"/>
    </row>
    <row r="102" spans="3:12" ht="15.75" x14ac:dyDescent="0.25">
      <c r="C102" s="38">
        <v>99</v>
      </c>
      <c r="D102" s="40"/>
      <c r="E102" s="34"/>
      <c r="F102" s="34"/>
      <c r="G102" s="35"/>
      <c r="H102" s="35"/>
      <c r="I102" s="50"/>
      <c r="J102" s="50"/>
      <c r="K102" s="50"/>
      <c r="L102" s="37"/>
    </row>
    <row r="103" spans="3:12" ht="16.5" thickBot="1" x14ac:dyDescent="0.3">
      <c r="C103" s="41">
        <v>100</v>
      </c>
      <c r="D103" s="42"/>
      <c r="E103" s="25"/>
      <c r="F103" s="25"/>
      <c r="G103" s="11"/>
      <c r="H103" s="11"/>
      <c r="I103" s="48"/>
      <c r="J103" s="48"/>
      <c r="K103" s="48"/>
      <c r="L103" s="12"/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88"/>
  <sheetViews>
    <sheetView workbookViewId="0">
      <selection activeCell="F4" sqref="F4"/>
    </sheetView>
  </sheetViews>
  <sheetFormatPr defaultRowHeight="15" x14ac:dyDescent="0.25"/>
  <cols>
    <col min="4" max="4" width="17" bestFit="1" customWidth="1"/>
    <col min="5" max="5" width="15.28515625" bestFit="1" customWidth="1"/>
    <col min="6" max="7" width="16" bestFit="1" customWidth="1"/>
    <col min="8" max="8" width="17.28515625" bestFit="1" customWidth="1"/>
    <col min="9" max="9" width="27.140625" bestFit="1" customWidth="1"/>
    <col min="12" max="12" width="13.85546875" bestFit="1" customWidth="1"/>
    <col min="13" max="13" width="13.42578125" bestFit="1" customWidth="1"/>
    <col min="15" max="15" width="13.85546875" bestFit="1" customWidth="1"/>
  </cols>
  <sheetData>
    <row r="1" spans="3:9" ht="15.75" thickBot="1" x14ac:dyDescent="0.3"/>
    <row r="2" spans="3:9" ht="25.5" customHeight="1" thickBot="1" x14ac:dyDescent="0.3">
      <c r="C2" s="75" t="s">
        <v>19</v>
      </c>
      <c r="D2" s="76"/>
      <c r="E2" s="76"/>
      <c r="F2" s="76"/>
      <c r="G2" s="76"/>
      <c r="H2" s="76"/>
      <c r="I2" s="77"/>
    </row>
    <row r="3" spans="3:9" ht="25.5" customHeight="1" thickBot="1" x14ac:dyDescent="0.3">
      <c r="C3" s="1" t="s">
        <v>0</v>
      </c>
      <c r="D3" s="2" t="s">
        <v>21</v>
      </c>
      <c r="E3" s="2" t="s">
        <v>5</v>
      </c>
      <c r="F3" s="30" t="s">
        <v>6</v>
      </c>
      <c r="G3" s="32" t="s">
        <v>22</v>
      </c>
      <c r="H3" s="66" t="s">
        <v>136</v>
      </c>
      <c r="I3" s="3" t="s">
        <v>23</v>
      </c>
    </row>
    <row r="4" spans="3:9" ht="20.25" customHeight="1" x14ac:dyDescent="0.25">
      <c r="C4" s="4">
        <v>1</v>
      </c>
      <c r="D4" s="5" t="s">
        <v>134</v>
      </c>
      <c r="E4" s="5" t="s">
        <v>2</v>
      </c>
      <c r="F4" s="8" t="s">
        <v>10</v>
      </c>
      <c r="G4" s="46">
        <v>44392</v>
      </c>
      <c r="H4" s="67" t="s">
        <v>133</v>
      </c>
      <c r="I4" s="43" t="s">
        <v>135</v>
      </c>
    </row>
    <row r="5" spans="3:9" ht="20.25" customHeight="1" x14ac:dyDescent="0.25">
      <c r="C5" s="7">
        <v>2</v>
      </c>
      <c r="D5" s="8"/>
      <c r="E5" s="8"/>
      <c r="F5" s="8"/>
      <c r="G5" s="47"/>
      <c r="H5" s="68"/>
      <c r="I5" s="44"/>
    </row>
    <row r="6" spans="3:9" ht="20.25" customHeight="1" x14ac:dyDescent="0.25">
      <c r="C6" s="7">
        <v>3</v>
      </c>
      <c r="D6" s="8"/>
      <c r="E6" s="8"/>
      <c r="F6" s="8"/>
      <c r="G6" s="47"/>
      <c r="H6" s="68"/>
      <c r="I6" s="44"/>
    </row>
    <row r="7" spans="3:9" ht="20.25" customHeight="1" x14ac:dyDescent="0.25">
      <c r="C7" s="7">
        <v>4</v>
      </c>
      <c r="D7" s="8"/>
      <c r="E7" s="8"/>
      <c r="F7" s="8"/>
      <c r="G7" s="47"/>
      <c r="H7" s="68"/>
      <c r="I7" s="44"/>
    </row>
    <row r="8" spans="3:9" ht="20.25" customHeight="1" x14ac:dyDescent="0.25">
      <c r="C8" s="7">
        <v>5</v>
      </c>
      <c r="D8" s="8"/>
      <c r="E8" s="8"/>
      <c r="F8" s="8"/>
      <c r="G8" s="47"/>
      <c r="H8" s="68"/>
      <c r="I8" s="44"/>
    </row>
    <row r="9" spans="3:9" ht="20.25" customHeight="1" x14ac:dyDescent="0.25">
      <c r="C9" s="7">
        <v>6</v>
      </c>
      <c r="D9" s="8"/>
      <c r="E9" s="8"/>
      <c r="F9" s="8"/>
      <c r="G9" s="47"/>
      <c r="H9" s="68"/>
      <c r="I9" s="44"/>
    </row>
    <row r="10" spans="3:9" ht="20.25" customHeight="1" x14ac:dyDescent="0.25">
      <c r="C10" s="7">
        <v>7</v>
      </c>
      <c r="D10" s="8"/>
      <c r="E10" s="8"/>
      <c r="F10" s="8"/>
      <c r="G10" s="47"/>
      <c r="H10" s="68"/>
      <c r="I10" s="44"/>
    </row>
    <row r="11" spans="3:9" ht="20.25" customHeight="1" x14ac:dyDescent="0.25">
      <c r="C11" s="7">
        <v>8</v>
      </c>
      <c r="D11" s="8"/>
      <c r="E11" s="8"/>
      <c r="F11" s="8"/>
      <c r="G11" s="47"/>
      <c r="H11" s="68"/>
      <c r="I11" s="44"/>
    </row>
    <row r="12" spans="3:9" ht="20.25" customHeight="1" x14ac:dyDescent="0.25">
      <c r="C12" s="7">
        <v>9</v>
      </c>
      <c r="D12" s="8"/>
      <c r="E12" s="8"/>
      <c r="F12" s="8"/>
      <c r="G12" s="47"/>
      <c r="H12" s="68"/>
      <c r="I12" s="44"/>
    </row>
    <row r="13" spans="3:9" ht="20.25" customHeight="1" x14ac:dyDescent="0.25">
      <c r="C13" s="7">
        <v>10</v>
      </c>
      <c r="D13" s="8"/>
      <c r="E13" s="8"/>
      <c r="F13" s="8"/>
      <c r="G13" s="47"/>
      <c r="H13" s="68"/>
      <c r="I13" s="44"/>
    </row>
    <row r="14" spans="3:9" ht="20.25" customHeight="1" x14ac:dyDescent="0.25">
      <c r="C14" s="7">
        <v>11</v>
      </c>
      <c r="D14" s="8"/>
      <c r="E14" s="8"/>
      <c r="F14" s="8"/>
      <c r="G14" s="47"/>
      <c r="H14" s="68"/>
      <c r="I14" s="44"/>
    </row>
    <row r="15" spans="3:9" ht="20.25" customHeight="1" x14ac:dyDescent="0.25">
      <c r="C15" s="7">
        <v>12</v>
      </c>
      <c r="D15" s="8"/>
      <c r="E15" s="8"/>
      <c r="F15" s="8"/>
      <c r="G15" s="47"/>
      <c r="H15" s="68"/>
      <c r="I15" s="44"/>
    </row>
    <row r="16" spans="3:9" ht="20.25" customHeight="1" x14ac:dyDescent="0.25">
      <c r="C16" s="7">
        <v>13</v>
      </c>
      <c r="D16" s="8"/>
      <c r="E16" s="8"/>
      <c r="F16" s="8"/>
      <c r="G16" s="47"/>
      <c r="H16" s="68"/>
      <c r="I16" s="44"/>
    </row>
    <row r="17" spans="3:9" ht="20.25" customHeight="1" x14ac:dyDescent="0.25">
      <c r="C17" s="7">
        <v>14</v>
      </c>
      <c r="D17" s="8"/>
      <c r="E17" s="8"/>
      <c r="F17" s="8"/>
      <c r="G17" s="47"/>
      <c r="H17" s="68"/>
      <c r="I17" s="44"/>
    </row>
    <row r="18" spans="3:9" ht="20.25" customHeight="1" x14ac:dyDescent="0.25">
      <c r="C18" s="7">
        <v>15</v>
      </c>
      <c r="D18" s="8"/>
      <c r="E18" s="8"/>
      <c r="F18" s="8"/>
      <c r="G18" s="47"/>
      <c r="H18" s="68"/>
      <c r="I18" s="44"/>
    </row>
    <row r="19" spans="3:9" ht="20.25" customHeight="1" x14ac:dyDescent="0.25">
      <c r="C19" s="7">
        <v>16</v>
      </c>
      <c r="D19" s="8"/>
      <c r="E19" s="8"/>
      <c r="F19" s="8"/>
      <c r="G19" s="47"/>
      <c r="H19" s="68"/>
      <c r="I19" s="44"/>
    </row>
    <row r="20" spans="3:9" ht="20.25" customHeight="1" x14ac:dyDescent="0.25">
      <c r="C20" s="7">
        <v>17</v>
      </c>
      <c r="D20" s="8"/>
      <c r="E20" s="8"/>
      <c r="F20" s="8"/>
      <c r="G20" s="47"/>
      <c r="H20" s="68"/>
      <c r="I20" s="44"/>
    </row>
    <row r="21" spans="3:9" ht="20.25" customHeight="1" x14ac:dyDescent="0.25">
      <c r="C21" s="7">
        <v>18</v>
      </c>
      <c r="D21" s="8"/>
      <c r="E21" s="8"/>
      <c r="F21" s="8"/>
      <c r="G21" s="47"/>
      <c r="H21" s="68"/>
      <c r="I21" s="44"/>
    </row>
    <row r="22" spans="3:9" ht="20.25" customHeight="1" x14ac:dyDescent="0.25">
      <c r="C22" s="7">
        <v>19</v>
      </c>
      <c r="D22" s="8"/>
      <c r="E22" s="8"/>
      <c r="F22" s="8"/>
      <c r="G22" s="47"/>
      <c r="H22" s="68"/>
      <c r="I22" s="44"/>
    </row>
    <row r="23" spans="3:9" ht="20.25" customHeight="1" x14ac:dyDescent="0.25">
      <c r="C23" s="7">
        <v>20</v>
      </c>
      <c r="D23" s="8"/>
      <c r="E23" s="8"/>
      <c r="F23" s="8"/>
      <c r="G23" s="47"/>
      <c r="H23" s="68"/>
      <c r="I23" s="44"/>
    </row>
    <row r="24" spans="3:9" ht="15.75" x14ac:dyDescent="0.25">
      <c r="C24" s="7">
        <v>21</v>
      </c>
      <c r="D24" s="8"/>
      <c r="E24" s="8"/>
      <c r="F24" s="8"/>
      <c r="G24" s="47"/>
      <c r="H24" s="68"/>
      <c r="I24" s="44"/>
    </row>
    <row r="25" spans="3:9" ht="15.75" x14ac:dyDescent="0.25">
      <c r="C25" s="7">
        <v>22</v>
      </c>
      <c r="D25" s="8"/>
      <c r="E25" s="8"/>
      <c r="F25" s="8"/>
      <c r="G25" s="47"/>
      <c r="H25" s="68"/>
      <c r="I25" s="44"/>
    </row>
    <row r="26" spans="3:9" ht="15.75" x14ac:dyDescent="0.25">
      <c r="C26" s="7">
        <v>23</v>
      </c>
      <c r="D26" s="8"/>
      <c r="E26" s="8"/>
      <c r="F26" s="8"/>
      <c r="G26" s="47"/>
      <c r="H26" s="68"/>
      <c r="I26" s="44"/>
    </row>
    <row r="27" spans="3:9" ht="15.75" x14ac:dyDescent="0.25">
      <c r="C27" s="7">
        <v>24</v>
      </c>
      <c r="D27" s="8"/>
      <c r="E27" s="8"/>
      <c r="F27" s="8"/>
      <c r="G27" s="47"/>
      <c r="H27" s="68"/>
      <c r="I27" s="44"/>
    </row>
    <row r="28" spans="3:9" ht="15.75" x14ac:dyDescent="0.25">
      <c r="C28" s="7">
        <v>25</v>
      </c>
      <c r="D28" s="8"/>
      <c r="E28" s="8"/>
      <c r="F28" s="8"/>
      <c r="G28" s="47"/>
      <c r="H28" s="68"/>
      <c r="I28" s="44"/>
    </row>
    <row r="29" spans="3:9" ht="15.75" x14ac:dyDescent="0.25">
      <c r="C29" s="7">
        <v>26</v>
      </c>
      <c r="D29" s="8"/>
      <c r="E29" s="8"/>
      <c r="F29" s="8"/>
      <c r="G29" s="47"/>
      <c r="H29" s="68"/>
      <c r="I29" s="44"/>
    </row>
    <row r="30" spans="3:9" ht="15.75" x14ac:dyDescent="0.25">
      <c r="C30" s="7">
        <v>27</v>
      </c>
      <c r="D30" s="8"/>
      <c r="E30" s="8"/>
      <c r="F30" s="8"/>
      <c r="G30" s="47"/>
      <c r="H30" s="68"/>
      <c r="I30" s="44"/>
    </row>
    <row r="31" spans="3:9" ht="15.75" x14ac:dyDescent="0.25">
      <c r="C31" s="7">
        <v>28</v>
      </c>
      <c r="D31" s="8"/>
      <c r="E31" s="8"/>
      <c r="F31" s="8"/>
      <c r="G31" s="47"/>
      <c r="H31" s="68"/>
      <c r="I31" s="44"/>
    </row>
    <row r="32" spans="3:9" ht="15.75" x14ac:dyDescent="0.25">
      <c r="C32" s="7">
        <v>29</v>
      </c>
      <c r="D32" s="8"/>
      <c r="E32" s="8"/>
      <c r="F32" s="8"/>
      <c r="G32" s="47"/>
      <c r="H32" s="68"/>
      <c r="I32" s="44"/>
    </row>
    <row r="33" spans="3:9" ht="15.75" x14ac:dyDescent="0.25">
      <c r="C33" s="7">
        <v>30</v>
      </c>
      <c r="D33" s="8"/>
      <c r="E33" s="8"/>
      <c r="F33" s="8"/>
      <c r="G33" s="47"/>
      <c r="H33" s="68"/>
      <c r="I33" s="44"/>
    </row>
    <row r="34" spans="3:9" ht="15.75" x14ac:dyDescent="0.25">
      <c r="C34" s="7">
        <v>31</v>
      </c>
      <c r="D34" s="8"/>
      <c r="E34" s="8"/>
      <c r="F34" s="8"/>
      <c r="G34" s="47"/>
      <c r="H34" s="68"/>
      <c r="I34" s="44"/>
    </row>
    <row r="35" spans="3:9" ht="15.75" x14ac:dyDescent="0.25">
      <c r="C35" s="7">
        <v>32</v>
      </c>
      <c r="D35" s="8"/>
      <c r="E35" s="8"/>
      <c r="F35" s="8"/>
      <c r="G35" s="47"/>
      <c r="H35" s="68"/>
      <c r="I35" s="44"/>
    </row>
    <row r="36" spans="3:9" ht="15.75" x14ac:dyDescent="0.25">
      <c r="C36" s="7">
        <v>33</v>
      </c>
      <c r="D36" s="8"/>
      <c r="E36" s="8"/>
      <c r="F36" s="8"/>
      <c r="G36" s="47"/>
      <c r="H36" s="68"/>
      <c r="I36" s="44"/>
    </row>
    <row r="37" spans="3:9" ht="15.75" x14ac:dyDescent="0.25">
      <c r="C37" s="7">
        <v>34</v>
      </c>
      <c r="D37" s="8"/>
      <c r="E37" s="8"/>
      <c r="F37" s="8"/>
      <c r="G37" s="47"/>
      <c r="H37" s="68"/>
      <c r="I37" s="44"/>
    </row>
    <row r="38" spans="3:9" ht="15.75" x14ac:dyDescent="0.25">
      <c r="C38" s="7">
        <v>35</v>
      </c>
      <c r="D38" s="8"/>
      <c r="E38" s="8"/>
      <c r="F38" s="8"/>
      <c r="G38" s="47"/>
      <c r="H38" s="68"/>
      <c r="I38" s="44"/>
    </row>
    <row r="39" spans="3:9" ht="15.75" x14ac:dyDescent="0.25">
      <c r="C39" s="7">
        <v>36</v>
      </c>
      <c r="D39" s="8"/>
      <c r="E39" s="8"/>
      <c r="F39" s="8"/>
      <c r="G39" s="47"/>
      <c r="H39" s="68"/>
      <c r="I39" s="44"/>
    </row>
    <row r="40" spans="3:9" ht="15.75" x14ac:dyDescent="0.25">
      <c r="C40" s="7">
        <v>37</v>
      </c>
      <c r="D40" s="8"/>
      <c r="E40" s="8"/>
      <c r="F40" s="8"/>
      <c r="G40" s="47"/>
      <c r="H40" s="68"/>
      <c r="I40" s="44"/>
    </row>
    <row r="41" spans="3:9" ht="15.75" x14ac:dyDescent="0.25">
      <c r="C41" s="7">
        <v>38</v>
      </c>
      <c r="D41" s="8"/>
      <c r="E41" s="8"/>
      <c r="F41" s="8"/>
      <c r="G41" s="47"/>
      <c r="H41" s="68"/>
      <c r="I41" s="44"/>
    </row>
    <row r="42" spans="3:9" ht="15.75" x14ac:dyDescent="0.25">
      <c r="C42" s="7">
        <v>39</v>
      </c>
      <c r="D42" s="8"/>
      <c r="E42" s="8"/>
      <c r="F42" s="8"/>
      <c r="G42" s="47"/>
      <c r="H42" s="68"/>
      <c r="I42" s="44"/>
    </row>
    <row r="43" spans="3:9" ht="15.75" x14ac:dyDescent="0.25">
      <c r="C43" s="7">
        <v>40</v>
      </c>
      <c r="D43" s="8"/>
      <c r="E43" s="8"/>
      <c r="F43" s="8"/>
      <c r="G43" s="47"/>
      <c r="H43" s="68"/>
      <c r="I43" s="44"/>
    </row>
    <row r="44" spans="3:9" ht="15.75" x14ac:dyDescent="0.25">
      <c r="C44" s="7">
        <v>41</v>
      </c>
      <c r="D44" s="8"/>
      <c r="E44" s="8"/>
      <c r="F44" s="8"/>
      <c r="G44" s="47"/>
      <c r="H44" s="68"/>
      <c r="I44" s="44"/>
    </row>
    <row r="45" spans="3:9" ht="15.75" x14ac:dyDescent="0.25">
      <c r="C45" s="7">
        <v>42</v>
      </c>
      <c r="D45" s="8"/>
      <c r="E45" s="8"/>
      <c r="F45" s="8"/>
      <c r="G45" s="47"/>
      <c r="H45" s="68"/>
      <c r="I45" s="44"/>
    </row>
    <row r="46" spans="3:9" ht="15.75" x14ac:dyDescent="0.25">
      <c r="C46" s="7">
        <v>43</v>
      </c>
      <c r="D46" s="8"/>
      <c r="E46" s="8"/>
      <c r="F46" s="8"/>
      <c r="G46" s="47"/>
      <c r="H46" s="68"/>
      <c r="I46" s="44"/>
    </row>
    <row r="47" spans="3:9" ht="15.75" x14ac:dyDescent="0.25">
      <c r="C47" s="7">
        <v>44</v>
      </c>
      <c r="D47" s="8"/>
      <c r="E47" s="8"/>
      <c r="F47" s="8"/>
      <c r="G47" s="47"/>
      <c r="H47" s="68"/>
      <c r="I47" s="44"/>
    </row>
    <row r="48" spans="3:9" ht="15.75" x14ac:dyDescent="0.25">
      <c r="C48" s="7">
        <v>45</v>
      </c>
      <c r="D48" s="8"/>
      <c r="E48" s="8"/>
      <c r="F48" s="8"/>
      <c r="G48" s="47"/>
      <c r="H48" s="68"/>
      <c r="I48" s="44"/>
    </row>
    <row r="49" spans="3:9" ht="15.75" x14ac:dyDescent="0.25">
      <c r="C49" s="7">
        <v>46</v>
      </c>
      <c r="D49" s="8"/>
      <c r="E49" s="8"/>
      <c r="F49" s="8"/>
      <c r="G49" s="47"/>
      <c r="H49" s="68"/>
      <c r="I49" s="44"/>
    </row>
    <row r="50" spans="3:9" ht="15.75" x14ac:dyDescent="0.25">
      <c r="C50" s="7">
        <v>47</v>
      </c>
      <c r="D50" s="8"/>
      <c r="E50" s="8"/>
      <c r="F50" s="8"/>
      <c r="G50" s="47"/>
      <c r="H50" s="68"/>
      <c r="I50" s="44"/>
    </row>
    <row r="51" spans="3:9" ht="15.75" x14ac:dyDescent="0.25">
      <c r="C51" s="7">
        <v>48</v>
      </c>
      <c r="D51" s="8"/>
      <c r="E51" s="8"/>
      <c r="F51" s="8"/>
      <c r="G51" s="47"/>
      <c r="H51" s="68"/>
      <c r="I51" s="44"/>
    </row>
    <row r="52" spans="3:9" ht="15.75" x14ac:dyDescent="0.25">
      <c r="C52" s="7">
        <v>49</v>
      </c>
      <c r="D52" s="8"/>
      <c r="E52" s="8"/>
      <c r="F52" s="8"/>
      <c r="G52" s="47"/>
      <c r="H52" s="68"/>
      <c r="I52" s="44"/>
    </row>
    <row r="53" spans="3:9" ht="15.75" x14ac:dyDescent="0.25">
      <c r="C53" s="7">
        <v>50</v>
      </c>
      <c r="D53" s="8"/>
      <c r="E53" s="8"/>
      <c r="F53" s="8"/>
      <c r="G53" s="47"/>
      <c r="H53" s="68"/>
      <c r="I53" s="44"/>
    </row>
    <row r="54" spans="3:9" ht="15.75" x14ac:dyDescent="0.25">
      <c r="C54" s="7">
        <v>51</v>
      </c>
      <c r="D54" s="8"/>
      <c r="E54" s="8"/>
      <c r="F54" s="8"/>
      <c r="G54" s="47"/>
      <c r="H54" s="68"/>
      <c r="I54" s="44"/>
    </row>
    <row r="55" spans="3:9" ht="15.75" x14ac:dyDescent="0.25">
      <c r="C55" s="7">
        <v>52</v>
      </c>
      <c r="D55" s="8"/>
      <c r="E55" s="8"/>
      <c r="F55" s="8"/>
      <c r="G55" s="47"/>
      <c r="H55" s="68"/>
      <c r="I55" s="44"/>
    </row>
    <row r="56" spans="3:9" ht="15.75" x14ac:dyDescent="0.25">
      <c r="C56" s="7">
        <v>53</v>
      </c>
      <c r="D56" s="8"/>
      <c r="E56" s="8"/>
      <c r="F56" s="8"/>
      <c r="G56" s="47"/>
      <c r="H56" s="68"/>
      <c r="I56" s="44"/>
    </row>
    <row r="57" spans="3:9" ht="15.75" x14ac:dyDescent="0.25">
      <c r="C57" s="7">
        <v>54</v>
      </c>
      <c r="D57" s="8"/>
      <c r="E57" s="8"/>
      <c r="F57" s="8"/>
      <c r="G57" s="47"/>
      <c r="H57" s="68"/>
      <c r="I57" s="44"/>
    </row>
    <row r="58" spans="3:9" ht="15.75" x14ac:dyDescent="0.25">
      <c r="C58" s="7">
        <v>55</v>
      </c>
      <c r="D58" s="8"/>
      <c r="E58" s="8"/>
      <c r="F58" s="8"/>
      <c r="G58" s="47"/>
      <c r="H58" s="68"/>
      <c r="I58" s="44"/>
    </row>
    <row r="59" spans="3:9" ht="15.75" x14ac:dyDescent="0.25">
      <c r="C59" s="7">
        <v>56</v>
      </c>
      <c r="D59" s="8"/>
      <c r="E59" s="8"/>
      <c r="F59" s="8"/>
      <c r="G59" s="47"/>
      <c r="H59" s="68"/>
      <c r="I59" s="44"/>
    </row>
    <row r="60" spans="3:9" ht="15.75" x14ac:dyDescent="0.25">
      <c r="C60" s="7">
        <v>57</v>
      </c>
      <c r="D60" s="8"/>
      <c r="E60" s="8"/>
      <c r="F60" s="8"/>
      <c r="G60" s="47"/>
      <c r="H60" s="68"/>
      <c r="I60" s="44"/>
    </row>
    <row r="61" spans="3:9" ht="15.75" x14ac:dyDescent="0.25">
      <c r="C61" s="7">
        <v>58</v>
      </c>
      <c r="D61" s="8"/>
      <c r="E61" s="8"/>
      <c r="F61" s="8"/>
      <c r="G61" s="47"/>
      <c r="H61" s="68"/>
      <c r="I61" s="44"/>
    </row>
    <row r="62" spans="3:9" ht="15.75" x14ac:dyDescent="0.25">
      <c r="C62" s="7">
        <v>59</v>
      </c>
      <c r="D62" s="8"/>
      <c r="E62" s="8"/>
      <c r="F62" s="8"/>
      <c r="G62" s="47"/>
      <c r="H62" s="68"/>
      <c r="I62" s="44"/>
    </row>
    <row r="63" spans="3:9" ht="15.75" x14ac:dyDescent="0.25">
      <c r="C63" s="7">
        <v>60</v>
      </c>
      <c r="D63" s="8"/>
      <c r="E63" s="8"/>
      <c r="F63" s="8"/>
      <c r="G63" s="47"/>
      <c r="H63" s="68"/>
      <c r="I63" s="44"/>
    </row>
    <row r="64" spans="3:9" ht="15.75" x14ac:dyDescent="0.25">
      <c r="C64" s="7">
        <v>61</v>
      </c>
      <c r="D64" s="8"/>
      <c r="E64" s="8"/>
      <c r="F64" s="8"/>
      <c r="G64" s="47"/>
      <c r="H64" s="68"/>
      <c r="I64" s="44"/>
    </row>
    <row r="65" spans="3:9" ht="15.75" x14ac:dyDescent="0.25">
      <c r="C65" s="7">
        <v>62</v>
      </c>
      <c r="D65" s="8"/>
      <c r="E65" s="8"/>
      <c r="F65" s="8"/>
      <c r="G65" s="47"/>
      <c r="H65" s="68"/>
      <c r="I65" s="44"/>
    </row>
    <row r="66" spans="3:9" ht="15.75" x14ac:dyDescent="0.25">
      <c r="C66" s="7">
        <v>63</v>
      </c>
      <c r="D66" s="8"/>
      <c r="E66" s="8"/>
      <c r="F66" s="8"/>
      <c r="G66" s="47"/>
      <c r="H66" s="68"/>
      <c r="I66" s="44"/>
    </row>
    <row r="67" spans="3:9" ht="15.75" x14ac:dyDescent="0.25">
      <c r="C67" s="7">
        <v>64</v>
      </c>
      <c r="D67" s="8"/>
      <c r="E67" s="8"/>
      <c r="F67" s="8"/>
      <c r="G67" s="47"/>
      <c r="H67" s="68"/>
      <c r="I67" s="44"/>
    </row>
    <row r="68" spans="3:9" ht="15.75" x14ac:dyDescent="0.25">
      <c r="C68" s="7">
        <v>65</v>
      </c>
      <c r="D68" s="8"/>
      <c r="E68" s="8"/>
      <c r="F68" s="8"/>
      <c r="G68" s="47"/>
      <c r="H68" s="68"/>
      <c r="I68" s="44"/>
    </row>
    <row r="69" spans="3:9" ht="15.75" x14ac:dyDescent="0.25">
      <c r="C69" s="7">
        <v>66</v>
      </c>
      <c r="D69" s="8"/>
      <c r="E69" s="8"/>
      <c r="F69" s="8"/>
      <c r="G69" s="47"/>
      <c r="H69" s="68"/>
      <c r="I69" s="44"/>
    </row>
    <row r="70" spans="3:9" ht="15.75" x14ac:dyDescent="0.25">
      <c r="C70" s="7">
        <v>67</v>
      </c>
      <c r="D70" s="8"/>
      <c r="E70" s="8"/>
      <c r="F70" s="8"/>
      <c r="G70" s="47"/>
      <c r="H70" s="68"/>
      <c r="I70" s="44"/>
    </row>
    <row r="71" spans="3:9" ht="15.75" x14ac:dyDescent="0.25">
      <c r="C71" s="7">
        <v>68</v>
      </c>
      <c r="D71" s="8"/>
      <c r="E71" s="8"/>
      <c r="F71" s="8"/>
      <c r="G71" s="47"/>
      <c r="H71" s="68"/>
      <c r="I71" s="44"/>
    </row>
    <row r="72" spans="3:9" ht="15.75" x14ac:dyDescent="0.25">
      <c r="C72" s="7">
        <v>69</v>
      </c>
      <c r="D72" s="8"/>
      <c r="E72" s="8"/>
      <c r="F72" s="8"/>
      <c r="G72" s="47"/>
      <c r="H72" s="68"/>
      <c r="I72" s="44"/>
    </row>
    <row r="73" spans="3:9" ht="15.75" x14ac:dyDescent="0.25">
      <c r="C73" s="7">
        <v>70</v>
      </c>
      <c r="D73" s="8"/>
      <c r="E73" s="8"/>
      <c r="F73" s="8"/>
      <c r="G73" s="47"/>
      <c r="H73" s="68"/>
      <c r="I73" s="44"/>
    </row>
    <row r="74" spans="3:9" ht="15.75" x14ac:dyDescent="0.25">
      <c r="C74" s="7">
        <v>71</v>
      </c>
      <c r="D74" s="8"/>
      <c r="E74" s="8"/>
      <c r="F74" s="8"/>
      <c r="G74" s="47"/>
      <c r="H74" s="68"/>
      <c r="I74" s="44"/>
    </row>
    <row r="75" spans="3:9" ht="15.75" x14ac:dyDescent="0.25">
      <c r="C75" s="7">
        <v>72</v>
      </c>
      <c r="D75" s="8"/>
      <c r="E75" s="8"/>
      <c r="F75" s="8"/>
      <c r="G75" s="47"/>
      <c r="H75" s="68"/>
      <c r="I75" s="44"/>
    </row>
    <row r="76" spans="3:9" ht="15.75" x14ac:dyDescent="0.25">
      <c r="C76" s="7">
        <v>73</v>
      </c>
      <c r="D76" s="8"/>
      <c r="E76" s="8"/>
      <c r="F76" s="8"/>
      <c r="G76" s="47"/>
      <c r="H76" s="68"/>
      <c r="I76" s="44"/>
    </row>
    <row r="77" spans="3:9" ht="15.75" x14ac:dyDescent="0.25">
      <c r="C77" s="7">
        <v>74</v>
      </c>
      <c r="D77" s="8"/>
      <c r="E77" s="8"/>
      <c r="F77" s="8"/>
      <c r="G77" s="47"/>
      <c r="H77" s="68"/>
      <c r="I77" s="44"/>
    </row>
    <row r="78" spans="3:9" ht="15.75" x14ac:dyDescent="0.25">
      <c r="C78" s="7">
        <v>75</v>
      </c>
      <c r="D78" s="8"/>
      <c r="E78" s="8"/>
      <c r="F78" s="8"/>
      <c r="G78" s="47"/>
      <c r="H78" s="68"/>
      <c r="I78" s="44"/>
    </row>
    <row r="79" spans="3:9" ht="15.75" x14ac:dyDescent="0.25">
      <c r="C79" s="7">
        <v>76</v>
      </c>
      <c r="D79" s="8"/>
      <c r="E79" s="8"/>
      <c r="F79" s="8"/>
      <c r="G79" s="47"/>
      <c r="H79" s="68"/>
      <c r="I79" s="44"/>
    </row>
    <row r="80" spans="3:9" ht="15.75" x14ac:dyDescent="0.25">
      <c r="C80" s="7">
        <v>77</v>
      </c>
      <c r="D80" s="8"/>
      <c r="E80" s="8"/>
      <c r="F80" s="8"/>
      <c r="G80" s="47"/>
      <c r="H80" s="68"/>
      <c r="I80" s="44"/>
    </row>
    <row r="81" spans="3:9" ht="15.75" x14ac:dyDescent="0.25">
      <c r="C81" s="7">
        <v>78</v>
      </c>
      <c r="D81" s="8"/>
      <c r="E81" s="8"/>
      <c r="F81" s="8"/>
      <c r="G81" s="47"/>
      <c r="H81" s="68"/>
      <c r="I81" s="44"/>
    </row>
    <row r="82" spans="3:9" ht="15.75" x14ac:dyDescent="0.25">
      <c r="C82" s="7">
        <v>79</v>
      </c>
      <c r="D82" s="8"/>
      <c r="E82" s="8"/>
      <c r="F82" s="8"/>
      <c r="G82" s="47"/>
      <c r="H82" s="68"/>
      <c r="I82" s="44"/>
    </row>
    <row r="83" spans="3:9" ht="15.75" x14ac:dyDescent="0.25">
      <c r="C83" s="7">
        <v>80</v>
      </c>
      <c r="D83" s="8"/>
      <c r="E83" s="8"/>
      <c r="F83" s="8"/>
      <c r="G83" s="47"/>
      <c r="H83" s="68"/>
      <c r="I83" s="44"/>
    </row>
    <row r="84" spans="3:9" ht="15.75" x14ac:dyDescent="0.25">
      <c r="C84" s="7">
        <v>81</v>
      </c>
      <c r="D84" s="8"/>
      <c r="E84" s="8"/>
      <c r="F84" s="8"/>
      <c r="G84" s="47"/>
      <c r="H84" s="68"/>
      <c r="I84" s="44"/>
    </row>
    <row r="85" spans="3:9" ht="15.75" x14ac:dyDescent="0.25">
      <c r="C85" s="7">
        <v>82</v>
      </c>
      <c r="D85" s="8"/>
      <c r="E85" s="8"/>
      <c r="F85" s="8"/>
      <c r="G85" s="47"/>
      <c r="H85" s="68"/>
      <c r="I85" s="44"/>
    </row>
    <row r="86" spans="3:9" ht="15.75" x14ac:dyDescent="0.25">
      <c r="C86" s="7">
        <v>83</v>
      </c>
      <c r="D86" s="8"/>
      <c r="E86" s="8"/>
      <c r="F86" s="8"/>
      <c r="G86" s="47"/>
      <c r="H86" s="68"/>
      <c r="I86" s="44"/>
    </row>
    <row r="87" spans="3:9" ht="15.75" x14ac:dyDescent="0.25">
      <c r="C87" s="7">
        <v>84</v>
      </c>
      <c r="D87" s="8"/>
      <c r="E87" s="8"/>
      <c r="F87" s="8"/>
      <c r="G87" s="47"/>
      <c r="H87" s="68"/>
      <c r="I87" s="44"/>
    </row>
    <row r="88" spans="3:9" ht="16.5" thickBot="1" x14ac:dyDescent="0.3">
      <c r="C88" s="10">
        <v>85</v>
      </c>
      <c r="D88" s="11"/>
      <c r="E88" s="11"/>
      <c r="F88" s="11"/>
      <c r="G88" s="48"/>
      <c r="H88" s="69"/>
      <c r="I88" s="45"/>
    </row>
  </sheetData>
  <mergeCells count="1">
    <mergeCell ref="C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75</vt:i4>
      </vt:variant>
    </vt:vector>
  </HeadingPairs>
  <TitlesOfParts>
    <vt:vector size="92" baseType="lpstr">
      <vt:lpstr>Item Name</vt:lpstr>
      <vt:lpstr>Keyboard</vt:lpstr>
      <vt:lpstr>Mouse</vt:lpstr>
      <vt:lpstr>LCD</vt:lpstr>
      <vt:lpstr>CPU</vt:lpstr>
      <vt:lpstr>Hard drive</vt:lpstr>
      <vt:lpstr>Power Cable</vt:lpstr>
      <vt:lpstr>USB</vt:lpstr>
      <vt:lpstr>Camera</vt:lpstr>
      <vt:lpstr>Router</vt:lpstr>
      <vt:lpstr>Network Item</vt:lpstr>
      <vt:lpstr>Printer</vt:lpstr>
      <vt:lpstr>Tablet</vt:lpstr>
      <vt:lpstr>Mac Book</vt:lpstr>
      <vt:lpstr>Inv. Issue</vt:lpstr>
      <vt:lpstr>Temp. Issue</vt:lpstr>
      <vt:lpstr>Salvage</vt:lpstr>
      <vt:lpstr>'Mac Book'!camera</vt:lpstr>
      <vt:lpstr>'Network Item'!camera</vt:lpstr>
      <vt:lpstr>Printer!camera</vt:lpstr>
      <vt:lpstr>Router!camera</vt:lpstr>
      <vt:lpstr>Tablet!camera</vt:lpstr>
      <vt:lpstr>camera</vt:lpstr>
      <vt:lpstr>Camera!CPU</vt:lpstr>
      <vt:lpstr>'Hard drive'!CPU</vt:lpstr>
      <vt:lpstr>'Mac Book'!CPU</vt:lpstr>
      <vt:lpstr>'Network Item'!CPU</vt:lpstr>
      <vt:lpstr>'Power Cable'!CPU</vt:lpstr>
      <vt:lpstr>Printer!CPU</vt:lpstr>
      <vt:lpstr>Router!CPU</vt:lpstr>
      <vt:lpstr>Tablet!CPU</vt:lpstr>
      <vt:lpstr>USB!CPU</vt:lpstr>
      <vt:lpstr>CPU</vt:lpstr>
      <vt:lpstr>Camera!harddrive</vt:lpstr>
      <vt:lpstr>'Mac Book'!harddrive</vt:lpstr>
      <vt:lpstr>'Network Item'!harddrive</vt:lpstr>
      <vt:lpstr>'Power Cable'!harddrive</vt:lpstr>
      <vt:lpstr>Printer!harddrive</vt:lpstr>
      <vt:lpstr>Router!harddrive</vt:lpstr>
      <vt:lpstr>Tablet!harddrive</vt:lpstr>
      <vt:lpstr>USB!harddrive</vt:lpstr>
      <vt:lpstr>harddrive</vt:lpstr>
      <vt:lpstr>key</vt:lpstr>
      <vt:lpstr>Camera!LCD</vt:lpstr>
      <vt:lpstr>CPU!LCD</vt:lpstr>
      <vt:lpstr>'Hard drive'!LCD</vt:lpstr>
      <vt:lpstr>'Mac Book'!LCD</vt:lpstr>
      <vt:lpstr>'Network Item'!LCD</vt:lpstr>
      <vt:lpstr>'Power Cable'!LCD</vt:lpstr>
      <vt:lpstr>Printer!LCD</vt:lpstr>
      <vt:lpstr>Router!LCD</vt:lpstr>
      <vt:lpstr>Tablet!LCD</vt:lpstr>
      <vt:lpstr>USB!LCD</vt:lpstr>
      <vt:lpstr>LCD</vt:lpstr>
      <vt:lpstr>list</vt:lpstr>
      <vt:lpstr>mac</vt:lpstr>
      <vt:lpstr>Camera!mou</vt:lpstr>
      <vt:lpstr>CPU!mou</vt:lpstr>
      <vt:lpstr>'Hard drive'!mou</vt:lpstr>
      <vt:lpstr>LCD!mou</vt:lpstr>
      <vt:lpstr>'Mac Book'!mou</vt:lpstr>
      <vt:lpstr>'Network Item'!mou</vt:lpstr>
      <vt:lpstr>'Power Cable'!mou</vt:lpstr>
      <vt:lpstr>Printer!mou</vt:lpstr>
      <vt:lpstr>Router!mou</vt:lpstr>
      <vt:lpstr>Tablet!mou</vt:lpstr>
      <vt:lpstr>USB!mou</vt:lpstr>
      <vt:lpstr>mou</vt:lpstr>
      <vt:lpstr>'Mac Book'!NS</vt:lpstr>
      <vt:lpstr>Printer!NS</vt:lpstr>
      <vt:lpstr>Tablet!NS</vt:lpstr>
      <vt:lpstr>NS</vt:lpstr>
      <vt:lpstr>Camera!powercable</vt:lpstr>
      <vt:lpstr>'Mac Book'!powercable</vt:lpstr>
      <vt:lpstr>'Network Item'!powercable</vt:lpstr>
      <vt:lpstr>Printer!powercable</vt:lpstr>
      <vt:lpstr>Router!powercable</vt:lpstr>
      <vt:lpstr>Tablet!powercable</vt:lpstr>
      <vt:lpstr>USB!powercable</vt:lpstr>
      <vt:lpstr>powercable</vt:lpstr>
      <vt:lpstr>'Mac Book'!printer</vt:lpstr>
      <vt:lpstr>Tablet!printer</vt:lpstr>
      <vt:lpstr>printer</vt:lpstr>
      <vt:lpstr>router</vt:lpstr>
      <vt:lpstr>tablet</vt:lpstr>
      <vt:lpstr>Camera!usb</vt:lpstr>
      <vt:lpstr>'Mac Book'!usb</vt:lpstr>
      <vt:lpstr>'Network Item'!usb</vt:lpstr>
      <vt:lpstr>Printer!usb</vt:lpstr>
      <vt:lpstr>Router!usb</vt:lpstr>
      <vt:lpstr>Tablet!usb</vt:lpstr>
      <vt:lpstr>usb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XPENDER</dc:creator>
  <cp:lastModifiedBy>Windows User</cp:lastModifiedBy>
  <dcterms:created xsi:type="dcterms:W3CDTF">2021-09-11T14:52:59Z</dcterms:created>
  <dcterms:modified xsi:type="dcterms:W3CDTF">2021-11-19T06:18:06Z</dcterms:modified>
</cp:coreProperties>
</file>
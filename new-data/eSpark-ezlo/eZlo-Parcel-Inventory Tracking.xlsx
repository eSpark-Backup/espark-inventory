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C:\Users\TT&amp;C\Downloads\"/>
    </mc:Choice>
  </mc:AlternateContent>
  <xr:revisionPtr revIDLastSave="0" documentId="8_{47579C65-8F4B-4F8C-A197-256291E52179}" xr6:coauthVersionLast="47" xr6:coauthVersionMax="47" xr10:uidLastSave="{00000000-0000-0000-0000-000000000000}"/>
  <bookViews>
    <workbookView xWindow="0" yWindow="0" windowWidth="28800" windowHeight="12435" firstSheet="16" activeTab="16" xr2:uid="{00000000-000D-0000-FFFF-FFFF00000000}"/>
  </bookViews>
  <sheets>
    <sheet name="Credit Sheet" sheetId="1" state="hidden" r:id="rId1"/>
    <sheet name="eSpark Office " sheetId="2" state="hidden" r:id="rId2"/>
    <sheet name="Feb-2022" sheetId="3" state="hidden" r:id="rId3"/>
    <sheet name="March-2022" sheetId="4" state="hidden" r:id="rId4"/>
    <sheet name="April-2022" sheetId="5" state="hidden" r:id="rId5"/>
    <sheet name="May-2022 (2)" sheetId="8" state="hidden" r:id="rId6"/>
    <sheet name="December-2022" sheetId="6" state="hidden" r:id="rId7"/>
    <sheet name="Jan-2023" sheetId="9" state="hidden" r:id="rId8"/>
    <sheet name="Feb-2023" sheetId="10" state="hidden" r:id="rId9"/>
    <sheet name="March-2023" sheetId="11" state="hidden" r:id="rId10"/>
    <sheet name="April-2023" sheetId="13" state="hidden" r:id="rId11"/>
    <sheet name="May-2023" sheetId="14" state="hidden" r:id="rId12"/>
    <sheet name="June-2023" sheetId="15" state="hidden" r:id="rId13"/>
    <sheet name="July-2023" sheetId="16" state="hidden" r:id="rId14"/>
    <sheet name="Paypal" sheetId="7" state="hidden" r:id="rId15"/>
    <sheet name="Paypal (2)" sheetId="18" state="hidden" r:id="rId16"/>
    <sheet name="eZlo" sheetId="12" r:id="rId17"/>
    <sheet name="Sheet1" sheetId="19" r:id="rId18"/>
  </sheets>
  <definedNames>
    <definedName name="_xlnm._FilterDatabase" localSheetId="10" hidden="1">'April-2023'!$A$1:$O$24</definedName>
    <definedName name="_xlnm._FilterDatabase" localSheetId="6" hidden="1">'December-2022'!$A$1:$N$26</definedName>
    <definedName name="_xlnm._FilterDatabase" localSheetId="13" hidden="1">'July-2023'!$A$1:$O$24</definedName>
    <definedName name="_xlnm._FilterDatabase" localSheetId="12" hidden="1">'June-2023'!$A$1:$O$24</definedName>
    <definedName name="_xlnm._FilterDatabase" localSheetId="9" hidden="1">'March-2023'!$A$1:$O$24</definedName>
    <definedName name="_xlnm._FilterDatabase" localSheetId="11" hidden="1">'May-2023'!$A$1:$O$24</definedName>
    <definedName name="_xlnm._FilterDatabase" localSheetId="16" hidden="1">eZlo!$A$1:$J$87</definedName>
    <definedName name="Amount" localSheetId="1">#REF!</definedName>
    <definedName name="Amount" localSheetId="2">#REF!</definedName>
    <definedName name="Amount" localSheetId="3">#REF!</definedName>
    <definedName name="Amount">#REF!</definedName>
    <definedName name="client" localSheetId="10">'April-2023'!$AB$2:$AB$18</definedName>
    <definedName name="client" localSheetId="16">eZlo!$T$2:$T$8</definedName>
    <definedName name="client" localSheetId="8">'Feb-2023'!$AB$2:$AB$18</definedName>
    <definedName name="client" localSheetId="13">'July-2023'!$AB$2:$AB$18</definedName>
    <definedName name="client" localSheetId="12">'June-2023'!$AB$2:$AB$18</definedName>
    <definedName name="client" localSheetId="9">'March-2023'!$AB$2:$AB$18</definedName>
    <definedName name="client" localSheetId="11">'May-2023'!$AB$2:$AB$18</definedName>
    <definedName name="client">'Jan-2023'!$AA$2:$AA$25</definedName>
    <definedName name="clientname" localSheetId="10">'April-2023'!$D$2:$D$41</definedName>
    <definedName name="clientname" localSheetId="16">eZlo!$D$2:$D$20</definedName>
    <definedName name="clientname" localSheetId="8">'Feb-2023'!$D$2:$D$41</definedName>
    <definedName name="clientname" localSheetId="13">'July-2023'!$D$2:$D$41</definedName>
    <definedName name="clientname" localSheetId="12">'June-2023'!$D$2:$D$41</definedName>
    <definedName name="clientname" localSheetId="9">'March-2023'!$D$2:$D$41</definedName>
    <definedName name="clientname" localSheetId="11">'May-2023'!$D$2:$D$41</definedName>
    <definedName name="clientname">'Jan-2023'!$D$2:$D$48</definedName>
    <definedName name="date" localSheetId="1">#REF!</definedName>
    <definedName name="date" localSheetId="2">#REF!</definedName>
    <definedName name="date" localSheetId="3">#REF!</definedName>
    <definedName name="date">#REF!</definedName>
    <definedName name="emp">#REF!</definedName>
    <definedName name="parcel" localSheetId="10">'April-2023'!$A$2:$O$41</definedName>
    <definedName name="parcel" localSheetId="16">eZlo!$A$2:$G$20</definedName>
    <definedName name="parcel" localSheetId="8">'Feb-2023'!$A$2:$O$41</definedName>
    <definedName name="parcel" localSheetId="13">'July-2023'!$A$2:$O$41</definedName>
    <definedName name="parcel" localSheetId="12">'June-2023'!$A$2:$O$41</definedName>
    <definedName name="parcel" localSheetId="9">'March-2023'!$A$2:$O$41</definedName>
    <definedName name="parcel" localSheetId="11">'May-2023'!$A$2:$O$41</definedName>
    <definedName name="parcel">'Jan-2023'!$A$2:$N$48</definedName>
    <definedName name="Payment">'Credit Sheet'!$A$1:$A$15</definedName>
    <definedName name="status">'Credit Sheet'!$B$1:$B$15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39" roundtripDataSignature="AMtx7mj7UfrfdM8MZqlU44/FM25B6K2Baw=="/>
    </ext>
  </extLst>
</workbook>
</file>

<file path=xl/calcChain.xml><?xml version="1.0" encoding="utf-8"?>
<calcChain xmlns="http://schemas.openxmlformats.org/spreadsheetml/2006/main">
  <c r="C2" i="18" l="1"/>
  <c r="C4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C7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19" i="18"/>
  <c r="A18" i="18"/>
  <c r="A17" i="18"/>
  <c r="A16" i="18"/>
  <c r="A15" i="18"/>
  <c r="A14" i="18"/>
  <c r="C9" i="18"/>
  <c r="C8" i="18"/>
  <c r="C4" i="7"/>
  <c r="C7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5" i="7"/>
  <c r="A14" i="7"/>
  <c r="C9" i="7"/>
  <c r="C8" i="7"/>
  <c r="K45" i="16"/>
  <c r="K44" i="16"/>
  <c r="K43" i="16"/>
  <c r="K45" i="15"/>
  <c r="K44" i="15"/>
  <c r="K43" i="15"/>
  <c r="K7" i="13"/>
  <c r="K45" i="14"/>
  <c r="K44" i="14"/>
  <c r="K43" i="14"/>
  <c r="K5" i="11"/>
  <c r="J5" i="11"/>
  <c r="K5" i="10"/>
  <c r="J6" i="9"/>
  <c r="J5" i="9"/>
  <c r="J21" i="6"/>
  <c r="K4" i="8"/>
  <c r="J3" i="8"/>
  <c r="K3" i="6"/>
  <c r="J2" i="6"/>
  <c r="I29" i="5"/>
  <c r="G28" i="5"/>
  <c r="I28" i="5"/>
  <c r="I27" i="5"/>
  <c r="I26" i="5"/>
  <c r="I25" i="5"/>
  <c r="I24" i="5"/>
  <c r="I23" i="5"/>
  <c r="I22" i="5"/>
  <c r="I21" i="5"/>
  <c r="I20" i="5"/>
  <c r="I12" i="5"/>
  <c r="J51" i="4"/>
  <c r="H50" i="4"/>
  <c r="J49" i="4"/>
  <c r="J48" i="4"/>
  <c r="H47" i="4"/>
  <c r="J47" i="4"/>
  <c r="J46" i="4"/>
  <c r="J45" i="4"/>
  <c r="J44" i="4"/>
  <c r="J41" i="4"/>
  <c r="J40" i="4"/>
  <c r="J38" i="4"/>
  <c r="J37" i="4"/>
  <c r="H34" i="4"/>
  <c r="J31" i="4"/>
  <c r="J30" i="4"/>
  <c r="J28" i="4"/>
  <c r="J26" i="4"/>
  <c r="H24" i="4"/>
  <c r="H23" i="4"/>
  <c r="J16" i="4"/>
  <c r="N4" i="4"/>
  <c r="Q3" i="4"/>
  <c r="F38" i="3"/>
  <c r="F16" i="3"/>
  <c r="D85" i="2"/>
  <c r="D84" i="2"/>
  <c r="D80" i="2"/>
  <c r="D79" i="2"/>
  <c r="D41" i="2"/>
  <c r="D33" i="2"/>
  <c r="D31" i="2"/>
  <c r="D26" i="2"/>
  <c r="D24" i="2"/>
  <c r="D22" i="2"/>
  <c r="D8" i="2"/>
  <c r="H6" i="2"/>
  <c r="J7" i="3"/>
  <c r="K45" i="13"/>
  <c r="K44" i="13"/>
  <c r="K43" i="13"/>
  <c r="K45" i="11"/>
  <c r="K44" i="11"/>
  <c r="K43" i="11"/>
  <c r="K45" i="10"/>
  <c r="K44" i="10"/>
  <c r="K43" i="10"/>
  <c r="J6" i="3"/>
  <c r="J52" i="9"/>
  <c r="J51" i="9"/>
  <c r="J50" i="9"/>
  <c r="J53" i="8"/>
  <c r="J52" i="8"/>
  <c r="J51" i="8"/>
  <c r="J52" i="6"/>
  <c r="J51" i="6"/>
  <c r="J50" i="6"/>
  <c r="Q4" i="4" l="1"/>
  <c r="C10" i="18"/>
  <c r="C11" i="18" s="1"/>
  <c r="J8" i="3"/>
  <c r="Q5" i="4"/>
  <c r="N3" i="4"/>
  <c r="N5" i="4"/>
  <c r="C10" i="7"/>
  <c r="C11" i="7" s="1"/>
  <c r="N6" i="4" l="1"/>
</calcChain>
</file>

<file path=xl/sharedStrings.xml><?xml version="1.0" encoding="utf-8"?>
<sst xmlns="http://schemas.openxmlformats.org/spreadsheetml/2006/main" count="1489" uniqueCount="588">
  <si>
    <t>PayPal</t>
  </si>
  <si>
    <t>Hold</t>
  </si>
  <si>
    <t>Wise</t>
  </si>
  <si>
    <t>Payment Received</t>
  </si>
  <si>
    <t>Wire</t>
  </si>
  <si>
    <t>Inprocess</t>
  </si>
  <si>
    <t>Payoneer</t>
  </si>
  <si>
    <t>Cancel</t>
  </si>
  <si>
    <t>Upwork</t>
  </si>
  <si>
    <t>Invoice Revised</t>
  </si>
  <si>
    <t>Adv.Client</t>
  </si>
  <si>
    <t>eSpark Consulting Group 
Suit No.301</t>
  </si>
  <si>
    <t>Details</t>
  </si>
  <si>
    <t xml:space="preserve">  Total Office Exp. Of eSpark Office Renovation </t>
  </si>
  <si>
    <t>Total Exp.</t>
  </si>
  <si>
    <t>Sr. No</t>
  </si>
  <si>
    <t>Expenditure</t>
  </si>
  <si>
    <t>Amount</t>
  </si>
  <si>
    <t>Remarks</t>
  </si>
  <si>
    <t>Office Advacne (Six Months 60,0000)</t>
  </si>
  <si>
    <t>December-2021 Rent</t>
  </si>
  <si>
    <t xml:space="preserve">Agent Commision </t>
  </si>
  <si>
    <t>parcel Total amount with Delivery (Qty 5)</t>
  </si>
  <si>
    <t>office water bottles</t>
  </si>
  <si>
    <t>office tea with cups</t>
  </si>
  <si>
    <t xml:space="preserve">matti ka tail / oil </t>
  </si>
  <si>
    <t xml:space="preserve">mobile balance </t>
  </si>
  <si>
    <t xml:space="preserve">petrol </t>
  </si>
  <si>
    <t>sami given amount for some office work</t>
  </si>
  <si>
    <t xml:space="preserve">tea once again </t>
  </si>
  <si>
    <t xml:space="preserve"> 3D acryclic letters</t>
  </si>
  <si>
    <t>Ground plate Sticker sheet</t>
  </si>
  <si>
    <t>3rd Floor office plate (arcylic sheet with aryclic letters)</t>
  </si>
  <si>
    <t>Carpenter Expen. (Rashid)</t>
  </si>
  <si>
    <t>All Material and Labour Exp. 50,000 Added</t>
  </si>
  <si>
    <t>Color Expen.</t>
  </si>
  <si>
    <t>Material &amp; Labour</t>
  </si>
  <si>
    <t>Polish (Shakil)</t>
  </si>
  <si>
    <t>Table  Exp.</t>
  </si>
  <si>
    <t>AC Installation</t>
  </si>
  <si>
    <t>Labour Charges</t>
  </si>
  <si>
    <t>Floor Celing</t>
  </si>
  <si>
    <t xml:space="preserve">Maintance </t>
  </si>
  <si>
    <t>Two Months (Dec-2021 to Jan-2022)</t>
  </si>
  <si>
    <t>Sweet &amp; Mics Exp.</t>
  </si>
  <si>
    <t>Window Blind</t>
  </si>
  <si>
    <t>Wall Clock</t>
  </si>
  <si>
    <t>Updation in Wall Clock Cost Rs.600</t>
  </si>
  <si>
    <t xml:space="preserve">Shifting of Office Furniture RD </t>
  </si>
  <si>
    <t>Office Cleaning</t>
  </si>
  <si>
    <t>Transport AC From Home to Office</t>
  </si>
  <si>
    <t>Lunch, Water, Tea</t>
  </si>
  <si>
    <t>Till Date 29/01/2022</t>
  </si>
  <si>
    <t>Riskshaw Exp. (AC, Stair)</t>
  </si>
  <si>
    <t>Espark to Home</t>
  </si>
  <si>
    <t>Net Package (Huzaifa Ali)</t>
  </si>
  <si>
    <t>petrol  (Sami)</t>
  </si>
  <si>
    <t>Shop No.56 Renovation after leaving</t>
  </si>
  <si>
    <t>Color, Tile &amp; Labour</t>
  </si>
  <si>
    <t>Networking (Waqas)</t>
  </si>
  <si>
    <t>Complete Amount Paid</t>
  </si>
  <si>
    <t>Molvi Sb (Quran Khawani) &amp; Riskshaw fare</t>
  </si>
  <si>
    <t>Decoration (Quran Khawani)</t>
  </si>
  <si>
    <t xml:space="preserve">Computer Shifting From eSpark </t>
  </si>
  <si>
    <t>Computer Shifting From Devsol</t>
  </si>
  <si>
    <t>UPS Battery</t>
  </si>
  <si>
    <t>Riskshaw for UPS Battery</t>
  </si>
  <si>
    <t>UPS Battery (29/01/2022)</t>
  </si>
  <si>
    <t>Sami (Petrol)</t>
  </si>
  <si>
    <t>Lunch, Tea</t>
  </si>
  <si>
    <t>Foot Mate</t>
  </si>
  <si>
    <t>Plates &amp; Jug</t>
  </si>
  <si>
    <t>Tea Material for Office</t>
  </si>
  <si>
    <t>Bond</t>
  </si>
  <si>
    <t>Tea</t>
  </si>
  <si>
    <t xml:space="preserve">Battery Wire &amp; Clip  </t>
  </si>
  <si>
    <t>Jan-2022 Rent</t>
  </si>
  <si>
    <t>Office Decoration</t>
  </si>
  <si>
    <t xml:space="preserve">Alteration of Computer Table </t>
  </si>
  <si>
    <t>Oven Dawlance</t>
  </si>
  <si>
    <t>Electrial Kittle</t>
  </si>
  <si>
    <t>Mics Item</t>
  </si>
  <si>
    <t xml:space="preserve">Wooden Mat for Tea </t>
  </si>
  <si>
    <t>HP Elite Corei5 6th Generation Mini PC (Qty No.3)</t>
  </si>
  <si>
    <t>Techno Tree</t>
  </si>
  <si>
    <t>Elfi &amp; Mics Item</t>
  </si>
  <si>
    <t>Tea &amp; Lunch (With Huzaifa and Sami)</t>
  </si>
  <si>
    <t>Rashid (Carpenter)</t>
  </si>
  <si>
    <t>Super Card</t>
  </si>
  <si>
    <t xml:space="preserve">Wiper, Spary Carpet Brush, </t>
  </si>
  <si>
    <t>eSpark Furniture Transport</t>
  </si>
  <si>
    <t>Petrol (Sami)</t>
  </si>
  <si>
    <t>Lunch (Carpenter &amp; Sami)</t>
  </si>
  <si>
    <t>Transport Home (LCD)</t>
  </si>
  <si>
    <t>Parcel Fedex (25/01/2022)</t>
  </si>
  <si>
    <t>Parcel Galaxy (05/02/2022)</t>
  </si>
  <si>
    <t xml:space="preserve">Lunch (Huzaifa &amp; Sami) for Dinning Table </t>
  </si>
  <si>
    <t>Lunch (Huzaifa &amp; Sami) Saddar</t>
  </si>
  <si>
    <t xml:space="preserve">Updation in Table </t>
  </si>
  <si>
    <t>Updation in Table</t>
  </si>
  <si>
    <t>Mini CPU Purchase</t>
  </si>
  <si>
    <t>Total Qty (12)</t>
  </si>
  <si>
    <t>Office Card Printing, Design, Card Holder,</t>
  </si>
  <si>
    <t>Registration of Name</t>
  </si>
  <si>
    <t>Work in progress</t>
  </si>
  <si>
    <t>UPS for Network and Camera</t>
  </si>
  <si>
    <t>Printing on Wall</t>
  </si>
  <si>
    <t>Battery Box with Labour &amp; Rickshaw</t>
  </si>
  <si>
    <t>eSpark Furniture Remover</t>
  </si>
  <si>
    <t>Office Chairs (Qty 15)</t>
  </si>
  <si>
    <t xml:space="preserve">Acralic Sheet Updation Door </t>
  </si>
  <si>
    <t>Mini CPU Purchase (Qty No.3)</t>
  </si>
  <si>
    <t>Office Chairs (Qty 05)</t>
  </si>
  <si>
    <t>LEDs (Qty 5)</t>
  </si>
  <si>
    <t>Sitckers</t>
  </si>
  <si>
    <t>Label Printer (Dymo) with Tapes</t>
  </si>
  <si>
    <t xml:space="preserve">  Total Office Exp. Month of Feb-2022</t>
  </si>
  <si>
    <t>Office Exp.</t>
  </si>
  <si>
    <t>Date</t>
  </si>
  <si>
    <t>Mode</t>
  </si>
  <si>
    <t>Home Exp.</t>
  </si>
  <si>
    <t>Office Rent (60,0000)</t>
  </si>
  <si>
    <t>Office</t>
  </si>
  <si>
    <t>Total</t>
  </si>
  <si>
    <t>KE Bill eSpark</t>
  </si>
  <si>
    <t>Devsol KE Bill</t>
  </si>
  <si>
    <t>Office Maintenance (3,500)</t>
  </si>
  <si>
    <t>Home Rent (52,000)</t>
  </si>
  <si>
    <t>Home</t>
  </si>
  <si>
    <t>Home KE</t>
  </si>
  <si>
    <t>Home Gas Bill</t>
  </si>
  <si>
    <t>Installment</t>
  </si>
  <si>
    <t>Comety Gold</t>
  </si>
  <si>
    <t>Strom Fiber</t>
  </si>
  <si>
    <t>Bank Alfalah (9300)</t>
  </si>
  <si>
    <t>Samba Bank (8955)</t>
  </si>
  <si>
    <t>Godown Rent</t>
  </si>
  <si>
    <t>Water Bottles</t>
  </si>
  <si>
    <t>(Water Bottles Qty No.4, Each 280 with Tax)</t>
  </si>
  <si>
    <t>Parcel</t>
  </si>
  <si>
    <t>Everyday, Sugar (3kg)</t>
  </si>
  <si>
    <t>Electronic Item IRF9640 (Qty No.30)</t>
  </si>
  <si>
    <t>Rohail (Water Bottle for AC, Sugar)</t>
  </si>
  <si>
    <t>Rohail (Photo Copy Catlog)</t>
  </si>
  <si>
    <t>Nestle Water Bottle</t>
  </si>
  <si>
    <t>Godown (Cotton, PC Box Shifting)</t>
  </si>
  <si>
    <t>Lunch (Rashid Bhai aur Sami Bhai)</t>
  </si>
  <si>
    <t>Lunch (Huzaifa Bhai and Sami Bhai)</t>
  </si>
  <si>
    <t>Tissue Paper</t>
  </si>
  <si>
    <t>23/02/2022</t>
  </si>
  <si>
    <t>Box for Chandelier (Qty No.5), Fare &amp; Labour</t>
  </si>
  <si>
    <t>Egg, Bread, Mics Item</t>
  </si>
  <si>
    <t>Bike Maintenance</t>
  </si>
  <si>
    <t>Storage Boxes</t>
  </si>
  <si>
    <t>Electronic Item IRF9634 (Qty No.14)</t>
  </si>
  <si>
    <t>60 Per Unit</t>
  </si>
  <si>
    <t>Electronic Item IRF9640 (Qty No.5)</t>
  </si>
  <si>
    <t>50 Per Unit</t>
  </si>
  <si>
    <t>Electronic Item IRF9630 (Qty No.6)</t>
  </si>
  <si>
    <t xml:space="preserve">Electronic Item Part Purchase </t>
  </si>
  <si>
    <t>Transport (Abid Sb)</t>
  </si>
  <si>
    <t>Wire Less Keyboard &amp; Mouse Logitech (Qty 4)</t>
  </si>
  <si>
    <t>3900 Per Unit</t>
  </si>
  <si>
    <t>Wire Less Keyboard &amp; Mouse Logitech (Qty 2)</t>
  </si>
  <si>
    <t xml:space="preserve">Single Monitor Pro Gaming Arm </t>
  </si>
  <si>
    <t>OLED (Qty 2)</t>
  </si>
  <si>
    <t>400 Per Unit</t>
  </si>
  <si>
    <t>Challan Fee of University</t>
  </si>
  <si>
    <t>Disposible Cup</t>
  </si>
  <si>
    <t>Parcel Amount</t>
  </si>
  <si>
    <t>Credit Amount (March)</t>
  </si>
  <si>
    <t>Expenses</t>
  </si>
  <si>
    <t>Parcel Exp.</t>
  </si>
  <si>
    <t>Remaining Balance</t>
  </si>
  <si>
    <t xml:space="preserve">  Total Office Exp. Month of March-2022</t>
  </si>
  <si>
    <t>Invoice #</t>
  </si>
  <si>
    <t>Qty</t>
  </si>
  <si>
    <t>Unit Price</t>
  </si>
  <si>
    <t>Status</t>
  </si>
  <si>
    <t>Paid</t>
  </si>
  <si>
    <t>Comety Home</t>
  </si>
  <si>
    <t>Installment (Two Installments)</t>
  </si>
  <si>
    <t>Rs.16000, Rs.6500</t>
  </si>
  <si>
    <t>Unpaid</t>
  </si>
  <si>
    <t>Office Draw Lock</t>
  </si>
  <si>
    <t>Nestle Water Bottles</t>
  </si>
  <si>
    <t>1-000332</t>
  </si>
  <si>
    <t>Refresh (Card distribution)</t>
  </si>
  <si>
    <t>Office Tea, Tissue Paper, Milk</t>
  </si>
  <si>
    <t>0322S00600367</t>
  </si>
  <si>
    <t>Nan Powder Milk</t>
  </si>
  <si>
    <t>HP MINI PC</t>
  </si>
  <si>
    <t>Commmision Agent Devsol Sale</t>
  </si>
  <si>
    <t>OLEDs 0.96 inch</t>
  </si>
  <si>
    <t>Module TCA 9548</t>
  </si>
  <si>
    <t>Hard Copy was not provide by M. Sami</t>
  </si>
  <si>
    <t>Parcel Bykea to Faizan</t>
  </si>
  <si>
    <t>Jumper Wire</t>
  </si>
  <si>
    <t>Parcel christian rohan</t>
  </si>
  <si>
    <t xml:space="preserve">LED View Sonic </t>
  </si>
  <si>
    <t>Switch</t>
  </si>
  <si>
    <t>Big Vero Board</t>
  </si>
  <si>
    <t>Soldering Wire</t>
  </si>
  <si>
    <t>Refresh for Guset</t>
  </si>
  <si>
    <t>LED Monitor</t>
  </si>
  <si>
    <t>DP to HDMI</t>
  </si>
  <si>
    <t>Box Files</t>
  </si>
  <si>
    <t>256 SSD</t>
  </si>
  <si>
    <t>HP H120G Gaming Headphone</t>
  </si>
  <si>
    <t xml:space="preserve">  Total Office Exp. Month of April-2022</t>
  </si>
  <si>
    <t>Paid Advance Loan 100,000 From April-2022 to  Jan-2023</t>
  </si>
  <si>
    <t>Bike Lock (Huzaifa Ali)</t>
  </si>
  <si>
    <t>Programmble DC Power Supply</t>
  </si>
  <si>
    <t>T1863</t>
  </si>
  <si>
    <t>Office Chair</t>
  </si>
  <si>
    <t>Logitech MK275 Wireless Keyboard / Mouse</t>
  </si>
  <si>
    <t>LAN Cable 1.5 Meter</t>
  </si>
  <si>
    <t>Box File</t>
  </si>
  <si>
    <t>Dust Bin Roll</t>
  </si>
  <si>
    <t>Parcel Receiving 
Date</t>
  </si>
  <si>
    <t>Date of Dispatch Parcel</t>
  </si>
  <si>
    <t>Client Name</t>
  </si>
  <si>
    <t>Parcel Contents</t>
  </si>
  <si>
    <t>Shipment MAWB #</t>
  </si>
  <si>
    <t>Courier Service</t>
  </si>
  <si>
    <t>Client E-mail</t>
  </si>
  <si>
    <t>Payment Mode</t>
  </si>
  <si>
    <t>Paid Amount</t>
  </si>
  <si>
    <t>Requested 
Amount</t>
  </si>
  <si>
    <t>Reimbursement Status</t>
  </si>
  <si>
    <t>Invoice Link</t>
  </si>
  <si>
    <t>Oliver Stanton</t>
  </si>
  <si>
    <t>Water Monitor</t>
  </si>
  <si>
    <t>FedEX</t>
  </si>
  <si>
    <t>Christian Raun</t>
  </si>
  <si>
    <t>Ethercate Product</t>
  </si>
  <si>
    <t>Invoice No.1002</t>
  </si>
  <si>
    <t>Amount Received on Dt:-16/12/2022</t>
  </si>
  <si>
    <t>Joe Mayo</t>
  </si>
  <si>
    <t>Waveshare LCD Hat</t>
  </si>
  <si>
    <t>Not Received</t>
  </si>
  <si>
    <t>Client is Inactive</t>
  </si>
  <si>
    <t>Grant Kros</t>
  </si>
  <si>
    <t>Motor Driver IC and OLED display</t>
  </si>
  <si>
    <t>141-4352-2194</t>
  </si>
  <si>
    <t>ARAMEX</t>
  </si>
  <si>
    <t>Cole Benson</t>
  </si>
  <si>
    <t>Smart Motor</t>
  </si>
  <si>
    <t>UPS</t>
  </si>
  <si>
    <t>Paid by Client</t>
  </si>
  <si>
    <t>Parcel Amount Paid by Client</t>
  </si>
  <si>
    <t>Jude Parnell</t>
  </si>
  <si>
    <t>Camera Modules</t>
  </si>
  <si>
    <t>1Z8V64V40418161851</t>
  </si>
  <si>
    <t>Invoice No. 1050</t>
  </si>
  <si>
    <t>Client refused to pay</t>
  </si>
  <si>
    <t>PCB (Qty 12)</t>
  </si>
  <si>
    <t>christian.raun@gmail.com</t>
  </si>
  <si>
    <t>Paypall</t>
  </si>
  <si>
    <t xml:space="preserve">Programmer Vero Board, Stepper </t>
  </si>
  <si>
    <t>Control Board, Interface Boards</t>
  </si>
  <si>
    <t>DHL</t>
  </si>
  <si>
    <t>John Walllam</t>
  </si>
  <si>
    <t>LCD Boards</t>
  </si>
  <si>
    <t>john@stor-guard.com</t>
  </si>
  <si>
    <t>Wire Transfer</t>
  </si>
  <si>
    <t>-</t>
  </si>
  <si>
    <t>Invoice No.1070</t>
  </si>
  <si>
    <t xml:space="preserve"> Paid By Client</t>
  </si>
  <si>
    <t>Ezlo</t>
  </si>
  <si>
    <t>Sound Sensor (Nepal &amp; Poland)</t>
  </si>
  <si>
    <t>TCS</t>
  </si>
  <si>
    <t>Cashbook Addition</t>
  </si>
  <si>
    <t>Invoice No.959</t>
  </si>
  <si>
    <t>Sound Sensor PCB x 1</t>
  </si>
  <si>
    <t>In Process</t>
  </si>
  <si>
    <t>This amount add in Invoice No.1200</t>
  </si>
  <si>
    <t>Cole Benson PCBs</t>
  </si>
  <si>
    <t>1Z4F08390401462445</t>
  </si>
  <si>
    <t>cbenson@robotshop.com</t>
  </si>
  <si>
    <t>Already paid by client. No need for reimbursement</t>
  </si>
  <si>
    <t>Mahmood Aloraibi</t>
  </si>
  <si>
    <t>TinyMovr PCBs</t>
  </si>
  <si>
    <t>oraibi_bts@hotmail.com</t>
  </si>
  <si>
    <t xml:space="preserve"> Invoice no.1205 </t>
  </si>
  <si>
    <t>Email Sent on Dated 19-12-2022</t>
  </si>
  <si>
    <t>Interface and Control PCB x 1</t>
  </si>
  <si>
    <t>Steve Bourne</t>
  </si>
  <si>
    <t>LCD Screens for Raspberry Pi</t>
  </si>
  <si>
    <t>steve@hearlabs.com</t>
  </si>
  <si>
    <t xml:space="preserve"> eS-2022-1199 </t>
  </si>
  <si>
    <t>Keep on hold</t>
  </si>
  <si>
    <t>Control &amp; Interface PCBs</t>
  </si>
  <si>
    <t>PC, Power Adapter, Display Cable</t>
  </si>
  <si>
    <t xml:space="preserve">-- </t>
  </si>
  <si>
    <t>Shakeel</t>
  </si>
  <si>
    <t xml:space="preserve"> Invoice No.1089 </t>
  </si>
  <si>
    <t>in process</t>
  </si>
  <si>
    <t>PCB (Qty 06), Japan, PCB (Qty 02), Canada</t>
  </si>
  <si>
    <t>--</t>
  </si>
  <si>
    <t xml:space="preserve"> Invoice No.1067 </t>
  </si>
  <si>
    <t>Send by Faizan Ur Rehman by Through Ticket</t>
  </si>
  <si>
    <t>Control Qty 7, Interface PCBs Qty 7</t>
  </si>
  <si>
    <t>Invoice No.1099</t>
  </si>
  <si>
    <t>PCB (Qty 2)</t>
  </si>
  <si>
    <t>Invoice No.1200</t>
  </si>
  <si>
    <t>Invoice attached in Cash Book of December</t>
  </si>
  <si>
    <t>PKR 12,592</t>
  </si>
  <si>
    <t>PKR 12,163</t>
  </si>
  <si>
    <t xml:space="preserve">  Invoice No.1099  </t>
  </si>
  <si>
    <t>In Process (Combine Invoice Rs.25,020)</t>
  </si>
  <si>
    <t>PKR 6,885</t>
  </si>
  <si>
    <t>JTAG (Qty 1), Vero Board (Qty 1)</t>
  </si>
  <si>
    <t>---</t>
  </si>
  <si>
    <t xml:space="preserve">  Invoice No.1206  </t>
  </si>
  <si>
    <t>Shipment to Denmark (Old Invoice are Combine)</t>
  </si>
  <si>
    <t>John Wollam</t>
  </si>
  <si>
    <t>PCBs</t>
  </si>
  <si>
    <t>In process</t>
  </si>
  <si>
    <t xml:space="preserve"> Invoice No. 1208 </t>
  </si>
  <si>
    <t>Shipment from China</t>
  </si>
  <si>
    <t>eZlo</t>
  </si>
  <si>
    <t>Sound Sensor Boards x 1 (Board 15)</t>
  </si>
  <si>
    <t>Cash Book</t>
  </si>
  <si>
    <t>KHI TO LHR</t>
  </si>
  <si>
    <t>IR Blaster PCBs x 10</t>
  </si>
  <si>
    <t xml:space="preserve">  Invoice No.1256 </t>
  </si>
  <si>
    <t>Add in Cash Book December (PKR Total Include Custom Charges)</t>
  </si>
  <si>
    <t>LCD Project Boards</t>
  </si>
  <si>
    <t xml:space="preserve">  Invoice No. 1208  </t>
  </si>
  <si>
    <t>Advancae Amount From Client</t>
  </si>
  <si>
    <t>Advance from Client Total Amount is $84.69</t>
  </si>
  <si>
    <t>Switch Box boards x 10</t>
  </si>
  <si>
    <t>PKR 26,978</t>
  </si>
  <si>
    <t>Recovery notes: We have already taken shipment amount from Ezlo in fabrication invoice.</t>
  </si>
  <si>
    <t>Multiple PCBs</t>
  </si>
  <si>
    <t>TNT</t>
  </si>
  <si>
    <t>PKR 5,367</t>
  </si>
  <si>
    <t>Note:- Fwd into Next Month (March-2023) Recovery notes: Shipment fee not reimbursed.</t>
  </si>
  <si>
    <t>Matthew Graff</t>
  </si>
  <si>
    <t>MEGA2560_Custom PCB x 2</t>
  </si>
  <si>
    <t xml:space="preserve"> Shipment fee already reimbursed in fabrication invoice </t>
  </si>
  <si>
    <t>Mudassir Ahmed</t>
  </si>
  <si>
    <t>Breadboard prototype circuit setup and some speakers and amplifiers</t>
  </si>
  <si>
    <t>RM435864515DE</t>
  </si>
  <si>
    <t>Pakistan Post</t>
  </si>
  <si>
    <t>PKR 9,372</t>
  </si>
  <si>
    <t>https://bit.ly/3ERJ4WR</t>
  </si>
  <si>
    <t>Parcel not Received in Office (Coming From Germany)</t>
  </si>
  <si>
    <t>Flex cables for Radar PCB</t>
  </si>
  <si>
    <t>PKR 15,410</t>
  </si>
  <si>
    <t>Recovery notes: No amount reimbursed. (Purchase and shipping)</t>
  </si>
  <si>
    <t>Bryan Delmee</t>
  </si>
  <si>
    <t>PCB and test LCDs</t>
  </si>
  <si>
    <t>PAR03183292</t>
  </si>
  <si>
    <t>Recovery notes: No amount reimbursed. (shipping) (Azad Kashmir)</t>
  </si>
  <si>
    <t>W5500 SPI to Ethernet LAN Network Module</t>
  </si>
  <si>
    <t>Local</t>
  </si>
  <si>
    <t>PKR 1,400</t>
  </si>
  <si>
    <t>Recovery notes: No amount reimbursed. (shipping) Add in Cash Book</t>
  </si>
  <si>
    <t>Antennae and Pluggable screw terminals</t>
  </si>
  <si>
    <t>1ZF1E7870403129234</t>
  </si>
  <si>
    <t>Interface Board x 1, Control Board x 1</t>
  </si>
  <si>
    <t>PKR 12,100</t>
  </si>
  <si>
    <t>https://bit.ly/3y8HFHD</t>
  </si>
  <si>
    <t xml:space="preserve">Add in March Invoice </t>
  </si>
  <si>
    <t>Power Supply</t>
  </si>
  <si>
    <t xml:space="preserve"> 1Z642V2R0422181239</t>
  </si>
  <si>
    <t>PKR 13,554</t>
  </si>
  <si>
    <t>Add in March Invoice Coming from China, Recovery notes: Custom and duty charges that will be paid are not reimbursed</t>
  </si>
  <si>
    <t>Manar Harake</t>
  </si>
  <si>
    <t>Electrode and Sensor boards</t>
  </si>
  <si>
    <t>PKR 30,822</t>
  </si>
  <si>
    <t>Recovery notes: Complete amount already re-imbursed</t>
  </si>
  <si>
    <t xml:space="preserve">Wire </t>
  </si>
  <si>
    <t>Recovery notes: No amount reimbursed.</t>
  </si>
  <si>
    <t xml:space="preserve"> Ambient Tracker Pro PCBs</t>
  </si>
  <si>
    <t>TNT (FedEX)</t>
  </si>
  <si>
    <t xml:space="preserve">Recovery notes: No amount reimbursed. </t>
  </si>
  <si>
    <t>Electrode Board x 1
Sensor Board x 1
Octopus Cable x 2</t>
  </si>
  <si>
    <t>Paypal</t>
  </si>
  <si>
    <t>PKR 13,300</t>
  </si>
  <si>
    <t>https://bit.ly/3zeDb2v</t>
  </si>
  <si>
    <t xml:space="preserve">I've already told $74 to client, for info. (edited) </t>
  </si>
  <si>
    <t>HMI</t>
  </si>
  <si>
    <t xml:space="preserve"> Invoice Link </t>
  </si>
  <si>
    <t>Recovery notes: No amount reimbursed. (shipment) Invoice amount was $409 but client send $450</t>
  </si>
  <si>
    <t>FLST, FOB, TDS PCBs (various quantities)</t>
  </si>
  <si>
    <t>1ZF1F1010400398889</t>
  </si>
  <si>
    <t>Recovery notes: All amount re-imbursed</t>
  </si>
  <si>
    <t>Electrode Board x 6</t>
  </si>
  <si>
    <t>Recovery notes: No amount reimbursed.I've communicated $75 to client. Please note this figure for invoice creation.</t>
  </si>
  <si>
    <t>PCB x 1 (Board 2)</t>
  </si>
  <si>
    <t>https://bit.ly/3nywKon</t>
  </si>
  <si>
    <t>80 x Interface PCBs and 10 x Control PCBs</t>
  </si>
  <si>
    <t>1ZA1X4776791100420</t>
  </si>
  <si>
    <t>Recovery notes: Payment not reimbursed yet.</t>
  </si>
  <si>
    <t>Cameras and HUB for QA</t>
  </si>
  <si>
    <t>Custom Paid by Client</t>
  </si>
  <si>
    <t>Recovery notes: Payment not reimbursed yet. (Custom Duties was Nil)</t>
  </si>
  <si>
    <t>Stepper Driver TMC2130 breakout board</t>
  </si>
  <si>
    <t>CC1101 module x 1</t>
  </si>
  <si>
    <t>Leopard Courier</t>
  </si>
  <si>
    <t>(Will be Add in Cash Book Month of April-2023)</t>
  </si>
  <si>
    <t>V3 boards x 5</t>
  </si>
  <si>
    <t>Recovery notes: shipment payment reimbursed already.</t>
  </si>
  <si>
    <t>Alarm Clock boards and Side PCB</t>
  </si>
  <si>
    <t>Recovery notes: shipment payment not reimbursed yet. (This items are come with other Items)</t>
  </si>
  <si>
    <t>Schottky diodes x 100</t>
  </si>
  <si>
    <t>1ZF1E7870417266873</t>
  </si>
  <si>
    <t>Amount Received</t>
  </si>
  <si>
    <t>Recovery notes: Shipment payment invoice already sent</t>
  </si>
  <si>
    <t>Recovery notes: Shipment fee not reimbursed.</t>
  </si>
  <si>
    <t>Main PCBs x 2 and Side PCBs x 2</t>
  </si>
  <si>
    <t>Jake Krummenacher</t>
  </si>
  <si>
    <t>Main PCBs x 2 and Secondary PCBs x 65</t>
  </si>
  <si>
    <t>Recovery notes: Shipment fee not reimbursed. (Client paid throght Up work)</t>
  </si>
  <si>
    <t>Wika Pressure Sensors</t>
  </si>
  <si>
    <t>Power Switch IC x 5</t>
  </si>
  <si>
    <t>1ZF1E7870419044082</t>
  </si>
  <si>
    <t>Steve Borne</t>
  </si>
  <si>
    <t>LCD Screen x 1 (along with required cable)</t>
  </si>
  <si>
    <t xml:space="preserve">SHIPMENT TO USA </t>
  </si>
  <si>
    <t xml:space="preserve"> </t>
  </si>
  <si>
    <t>RF remote x 1</t>
  </si>
  <si>
    <t>CallCourier</t>
  </si>
  <si>
    <t>Recovery notes: Shipment fee not reimbursed. (Free) (Amount Not Paid by Sami Bhai)</t>
  </si>
  <si>
    <t>RF remote x 1; IR Blaster PCBs x 2</t>
  </si>
  <si>
    <t>TNT Shipment</t>
  </si>
  <si>
    <t>Bryan delmee</t>
  </si>
  <si>
    <t>Bryan casing and PCB x 1 (along with required cable)</t>
  </si>
  <si>
    <t>TMC2130 Eval Kit x 1</t>
  </si>
  <si>
    <t>Fedex</t>
  </si>
  <si>
    <t>Recovery notes: Shipment fee already reimbursed.</t>
  </si>
  <si>
    <t>Interface Boards x 2</t>
  </si>
  <si>
    <t>Homam Khoshaim</t>
  </si>
  <si>
    <t>RFM Module x 1</t>
  </si>
  <si>
    <t>Recovery notes: No payment reimbursed.</t>
  </si>
  <si>
    <t>1. Main Board x 1
2. Side Board x 55
3. Wires x sufficient for 55 boards</t>
  </si>
  <si>
    <t>Lomas Subedi</t>
  </si>
  <si>
    <t>Presence Sensor Pro x 1 with Hi-Link Sensor</t>
  </si>
  <si>
    <t>Oliver V3 x 3 (with all the hardware level fixes)
Oliver FLST x 3
Oliver TDS x 3</t>
  </si>
  <si>
    <t>Opening Balance</t>
  </si>
  <si>
    <t>Total Amount Received</t>
  </si>
  <si>
    <t>Deduction</t>
  </si>
  <si>
    <t>Item Purchase</t>
  </si>
  <si>
    <t>Amount With Draw</t>
  </si>
  <si>
    <t>Amount Tax Deduct</t>
  </si>
  <si>
    <t>Total Deduction</t>
  </si>
  <si>
    <t>Net Balance</t>
  </si>
  <si>
    <t>Description</t>
  </si>
  <si>
    <t>Purchase Invoice Link</t>
  </si>
  <si>
    <t>Amount Paid Invoice Link</t>
  </si>
  <si>
    <t>Amount for Purchase</t>
  </si>
  <si>
    <t>Tax Deduct</t>
  </si>
  <si>
    <t>PCB</t>
  </si>
  <si>
    <t>Paid Invoice</t>
  </si>
  <si>
    <t>Futurik Labs-Mudassir</t>
  </si>
  <si>
    <t>Smart Button-Parcel Payment</t>
  </si>
  <si>
    <t>Mahmood Albarodi</t>
  </si>
  <si>
    <t>Motor Driver</t>
  </si>
  <si>
    <t>Breakout_Board</t>
  </si>
  <si>
    <t>DC Motor</t>
  </si>
  <si>
    <t xml:space="preserve">Jawad Bhai </t>
  </si>
  <si>
    <t>eSpark Talent Services</t>
  </si>
  <si>
    <t>Chris Byrd</t>
  </si>
  <si>
    <t>Raaft Raaft</t>
  </si>
  <si>
    <t>PCB Client Name?</t>
  </si>
  <si>
    <t>Amount Was Refund</t>
  </si>
  <si>
    <t>Refund from Client</t>
  </si>
  <si>
    <t>PCB Elijah-Nick</t>
  </si>
  <si>
    <t>BLD_Project</t>
  </si>
  <si>
    <t>Christian Raun (Invoice No.1379)</t>
  </si>
  <si>
    <t>Chris Byrd Purchase</t>
  </si>
  <si>
    <t xml:space="preserve">Nick Kushner </t>
  </si>
  <si>
    <t>Griffin Doherty</t>
  </si>
  <si>
    <t xml:space="preserve"> Mudassir Ahmed-Smart Masjid</t>
  </si>
  <si>
    <t xml:space="preserve">Manar Milestone </t>
  </si>
  <si>
    <t>Manar (Weekly Services)</t>
  </si>
  <si>
    <t>Feb 05 to  09-Feb</t>
  </si>
  <si>
    <t>Andreas Kittos</t>
  </si>
  <si>
    <t xml:space="preserve">Domain and more </t>
  </si>
  <si>
    <t>Radar</t>
  </si>
  <si>
    <t>Raafat</t>
  </si>
  <si>
    <t>Parcel Dispatch to Japan</t>
  </si>
  <si>
    <t>Elijah Korp</t>
  </si>
  <si>
    <t>Parcel Dispatch to USA</t>
  </si>
  <si>
    <t>Custom Charges</t>
  </si>
  <si>
    <t>MpougadaLaundry App.</t>
  </si>
  <si>
    <t>John Cox</t>
  </si>
  <si>
    <t>Available/ Not Available</t>
  </si>
  <si>
    <t>Location</t>
  </si>
  <si>
    <t>Handover to</t>
  </si>
  <si>
    <t>Ambient Tracker Pro PCBs</t>
  </si>
  <si>
    <t>Available</t>
  </si>
  <si>
    <t>Cabinet#5, Portion#2</t>
  </si>
  <si>
    <t>Testing Boards for Devices</t>
  </si>
  <si>
    <t>Smart Breakers from NEO</t>
  </si>
  <si>
    <t>LED Strips from Junchen</t>
  </si>
  <si>
    <t>1Z0R03380424970748</t>
  </si>
  <si>
    <t>LED Strips from Chicoyo</t>
  </si>
  <si>
    <t>1ZE076680496427367</t>
  </si>
  <si>
    <t>power converters</t>
  </si>
  <si>
    <t>YT2415221272071926</t>
  </si>
  <si>
    <t>YUN Express</t>
  </si>
  <si>
    <t>Cabinet#5, Portion#1</t>
  </si>
  <si>
    <t>FC660 HVAC Wifi Heat Pump Thermostat</t>
  </si>
  <si>
    <t>DHL Express</t>
  </si>
  <si>
    <t>Door/Window Openers (Multiple)</t>
  </si>
  <si>
    <t>Sensors (Multiple)</t>
  </si>
  <si>
    <t>1ZB600960418400783</t>
  </si>
  <si>
    <t>Smart Plug /Breakers (Multiple)</t>
  </si>
  <si>
    <t>1ZB600960413804016</t>
  </si>
  <si>
    <t>Smart Plugs/Breakers (Multiple)</t>
  </si>
  <si>
    <t>FedEx</t>
  </si>
  <si>
    <t>Smart Modules (Multiple)</t>
  </si>
  <si>
    <t>1Z6R306V6719486202</t>
  </si>
  <si>
    <t>EPI-D01 Modules x 2</t>
  </si>
  <si>
    <t>Smart scent diffuser</t>
  </si>
  <si>
    <t>EzloAware devices (AirBNB) 5pcs</t>
  </si>
  <si>
    <t>Aramex</t>
  </si>
  <si>
    <t>TV Boxes</t>
  </si>
  <si>
    <t>LED Drivers samples</t>
  </si>
  <si>
    <t>Ezlo BLE Scanner PCBs</t>
  </si>
  <si>
    <t>Addressable LED Kit</t>
  </si>
  <si>
    <t>1ZX2237W0426035130</t>
  </si>
  <si>
    <t>Wifi Presence sensors from Towo</t>
  </si>
  <si>
    <t>Smart breakers from Bsumwell</t>
  </si>
  <si>
    <t>?</t>
  </si>
  <si>
    <t>Smart Breakers from JBLYU</t>
  </si>
  <si>
    <t>Smart Switches and Plugs, Smart Breakers, from Qiao</t>
  </si>
  <si>
    <t>1Z8V64V46701872505</t>
  </si>
  <si>
    <t>Thermostate Meter</t>
  </si>
  <si>
    <t>Board (Contact Person Name: Robson Carvalho)</t>
  </si>
  <si>
    <t>Wifi Switches (Multiple)</t>
  </si>
  <si>
    <t>1Z8V64V46707734902</t>
  </si>
  <si>
    <t>Power Converters</t>
  </si>
  <si>
    <t>1ZB600960436195785</t>
  </si>
  <si>
    <t>Wifi Pool Timer Switch</t>
  </si>
  <si>
    <t>BHT-8000GCLW smart thermostat</t>
  </si>
  <si>
    <t>AC/DC Power Supply ESP32 Board</t>
  </si>
  <si>
    <t>M01 Plug, BD21 Bulb, DS121BW Switch</t>
  </si>
  <si>
    <t>Mics Item - Ezlo Parcel 1/13</t>
  </si>
  <si>
    <t>23554448166-00005</t>
  </si>
  <si>
    <t>Mics Item - Ezlo Parcel 2/13</t>
  </si>
  <si>
    <t>23554448166-00009</t>
  </si>
  <si>
    <t>ezlo pi items</t>
  </si>
  <si>
    <t>Daraz</t>
  </si>
  <si>
    <t>Mics Item - Ezlo Parcel 3/13</t>
  </si>
  <si>
    <t>23554448166-00002</t>
  </si>
  <si>
    <t>Mics Item - Ezlo Parcel 4/13</t>
  </si>
  <si>
    <t>23554448166-00003</t>
  </si>
  <si>
    <t>Mics Item - Ezlo Parcel 5/13</t>
  </si>
  <si>
    <t>23554448166-00004</t>
  </si>
  <si>
    <t>Mics Item - Ezlo Parcel 6/13</t>
  </si>
  <si>
    <t>23554448166-00007</t>
  </si>
  <si>
    <t>Mics Item - Ezlo Parcel 7/13</t>
  </si>
  <si>
    <t>23554448166-00010</t>
  </si>
  <si>
    <t>Project eZlo Pi-In wall Switch Wifi and Dimer</t>
  </si>
  <si>
    <t>ezloPluses-EU</t>
  </si>
  <si>
    <t>Abeer</t>
  </si>
  <si>
    <t>BLE scanners</t>
  </si>
  <si>
    <t>Faizan</t>
  </si>
  <si>
    <t>Mics Item - Ezlo Parcel 12/13</t>
  </si>
  <si>
    <t>23554448166-00006</t>
  </si>
  <si>
    <t>Mics Item - Ezlo Parcel 13/13</t>
  </si>
  <si>
    <t>23554448166-00001</t>
  </si>
  <si>
    <t>inprocess</t>
  </si>
  <si>
    <t>Dewenwills Wifi Pool Timer Switch (Pakistan Post)</t>
  </si>
  <si>
    <t>936-1289745030100214669</t>
  </si>
  <si>
    <t>USPS</t>
  </si>
  <si>
    <t>PH Meter/Chlorometer</t>
  </si>
  <si>
    <t>Mics Item - Ezlo Parcel 8/13</t>
  </si>
  <si>
    <t>23554448166-00011</t>
  </si>
  <si>
    <t>Mics Item - Ezlo Parcel 9/13</t>
  </si>
  <si>
    <t>23554448166-00012</t>
  </si>
  <si>
    <t>Mics Item - Ezlo Parcel 10/13</t>
  </si>
  <si>
    <t>23554448166-00008</t>
  </si>
  <si>
    <t>Mics Item - Ezlo Parcel 11/3</t>
  </si>
  <si>
    <t>23554448166-00013</t>
  </si>
  <si>
    <t>CC Debugger x 1</t>
  </si>
  <si>
    <t>Breeze Thermostat samples</t>
  </si>
  <si>
    <t>779349588232</t>
  </si>
  <si>
    <t>EzloPi items (Daraz Items)</t>
  </si>
  <si>
    <t>199020593760142</t>
  </si>
  <si>
    <t>Beca Thermostat</t>
  </si>
  <si>
    <t>ESP 32 Boards</t>
  </si>
  <si>
    <t xml:space="preserve">LCDs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</si>
</sst>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"/>
    <numFmt numFmtId="166" formatCode="d&quot;-&quot;mmm&quot;-&quot;yyyy"/>
    <numFmt numFmtId="167" formatCode="[$PKR]\ #,##0"/>
    <numFmt numFmtId="168" formatCode="&quot;$&quot;#,##0.00"/>
    <numFmt numFmtId="169" formatCode="[$-409]d\-mmm\-yy;@"/>
    <numFmt numFmtId="170" formatCode="_([$PKR]\ * #,##0_);_([$PKR]\ * \(#,##0\);_([$PKR]\ * &quot;-&quot;_);_(@_)"/>
    <numFmt numFmtId="171" formatCode="_([$$-409]* #,##0.00_);_([$$-409]* \(#,##0.00\);_([$$-409]* &quot;-&quot;??_);_(@_)"/>
    <numFmt numFmtId="172" formatCode="_-[$Rs-846]\ * #,##0.00_-;\-[$Rs-846]\ * #,##0.00_-;_-[$Rs-846]\ * &quot;-&quot;??_-;_-@_-"/>
    <numFmt numFmtId="173" formatCode="[$-409]dd\-mmm\-yy;@"/>
    <numFmt numFmtId="174" formatCode="_(&quot;$&quot;* #,##0.00_);_(&quot;$&quot;* \(#,##0.00\);_(&quot;$&quot;* &quot;-&quot;_);_(@_)"/>
    <numFmt numFmtId="175" formatCode="_(&quot;$&quot;* #,##0.0_);_(&quot;$&quot;* \(#,##0.0\);_(&quot;$&quot;* &quot;-&quot;_);_(@_)"/>
  </numFmts>
  <fonts count="3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b/>
      <sz val="16"/>
      <color theme="1"/>
      <name val="Times New Roman"/>
    </font>
    <font>
      <sz val="11"/>
      <name val="Calibri"/>
    </font>
    <font>
      <sz val="14"/>
      <color theme="1"/>
      <name val="Times New Roman"/>
    </font>
    <font>
      <sz val="12"/>
      <color theme="1"/>
      <name val="Calibri"/>
    </font>
    <font>
      <sz val="11"/>
      <color theme="1"/>
      <name val="Calibri"/>
    </font>
    <font>
      <b/>
      <sz val="14"/>
      <color theme="1"/>
      <name val="Cambria"/>
    </font>
    <font>
      <b/>
      <sz val="22"/>
      <color theme="0"/>
      <name val="Times New Roman"/>
    </font>
    <font>
      <b/>
      <sz val="18"/>
      <color theme="0"/>
      <name val="Times New Roman"/>
    </font>
    <font>
      <b/>
      <sz val="12"/>
      <color theme="0"/>
      <name val="Times New Roman"/>
    </font>
    <font>
      <b/>
      <sz val="18"/>
      <color theme="0"/>
      <name val="Arial"/>
    </font>
    <font>
      <b/>
      <sz val="18"/>
      <color rgb="FFFFFFFF"/>
      <name val="Arial"/>
    </font>
    <font>
      <b/>
      <sz val="12"/>
      <color theme="0"/>
      <name val="Arial"/>
    </font>
    <font>
      <sz val="12"/>
      <color theme="1"/>
      <name val="Arial"/>
    </font>
    <font>
      <b/>
      <sz val="12"/>
      <color theme="1"/>
      <name val="Arial"/>
    </font>
    <font>
      <u/>
      <sz val="12"/>
      <color rgb="FF1155CC"/>
      <name val="Arial"/>
    </font>
    <font>
      <sz val="11"/>
      <color rgb="FF000000"/>
      <name val="Calibri"/>
      <scheme val="minor"/>
    </font>
    <font>
      <u/>
      <sz val="11"/>
      <color theme="10"/>
      <name val="Calibri"/>
      <scheme val="minor"/>
    </font>
    <font>
      <u/>
      <sz val="12"/>
      <color theme="10"/>
      <name val="Calibri"/>
    </font>
    <font>
      <sz val="12"/>
      <color rgb="FF000000"/>
      <name val="Calibri"/>
    </font>
    <font>
      <sz val="12"/>
      <color rgb="FF1155CC"/>
      <name val="Calibri"/>
    </font>
    <font>
      <b/>
      <sz val="12"/>
      <color theme="0"/>
      <name val="Calibri"/>
    </font>
    <font>
      <b/>
      <sz val="12"/>
      <color rgb="FFFFFFFF"/>
      <name val="Calibri"/>
    </font>
    <font>
      <u/>
      <sz val="11"/>
      <color theme="10"/>
      <name val="Arial"/>
    </font>
    <font>
      <b/>
      <sz val="12"/>
      <color theme="1"/>
      <name val="Calibri"/>
    </font>
    <font>
      <b/>
      <sz val="12"/>
      <color rgb="FF000000"/>
      <name val="Calibri"/>
    </font>
    <font>
      <b/>
      <sz val="12"/>
      <color rgb="FF1155CC"/>
      <name val="Calibri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1"/>
      <color theme="1"/>
      <name val="Calibri"/>
      <scheme val="minor"/>
    </font>
    <font>
      <b/>
      <u/>
      <sz val="11"/>
      <color theme="10"/>
      <name val="Calibri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rgb="FFFFFFFF"/>
      <name val="Calibri"/>
      <scheme val="minor"/>
    </font>
    <font>
      <b/>
      <sz val="11"/>
      <color theme="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09B99"/>
        <bgColor rgb="FF009B99"/>
      </patternFill>
    </fill>
    <fill>
      <patternFill patternType="solid">
        <fgColor rgb="FF2CD0B2"/>
        <bgColor rgb="FF2CD0B2"/>
      </patternFill>
    </fill>
    <fill>
      <patternFill patternType="solid">
        <fgColor rgb="FFFFFF00"/>
        <bgColor indexed="64"/>
      </patternFill>
    </fill>
    <fill>
      <patternFill patternType="solid">
        <fgColor rgb="FF2CD0B2"/>
        <bgColor indexed="64"/>
      </patternFill>
    </fill>
    <fill>
      <patternFill patternType="solid">
        <fgColor theme="0"/>
        <bgColor indexed="64"/>
      </patternFill>
    </fill>
  </fills>
  <borders count="103"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hair">
        <color rgb="FF000000"/>
      </right>
      <top style="dotted">
        <color rgb="FF000000"/>
      </top>
      <bottom style="hair">
        <color rgb="FF000000"/>
      </bottom>
      <diagonal/>
    </border>
    <border>
      <left style="hair">
        <color rgb="FF000000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hair">
        <color rgb="FF000000"/>
      </bottom>
      <diagonal/>
    </border>
    <border>
      <left style="dotted">
        <color rgb="FF000000"/>
      </left>
      <right/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/>
      <right/>
      <top style="hair">
        <color rgb="FF000000"/>
      </top>
      <bottom style="dotted">
        <color rgb="FF000000"/>
      </bottom>
      <diagonal/>
    </border>
    <border>
      <left style="hair">
        <color rgb="FF000000"/>
      </left>
      <right/>
      <top style="hair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/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dotted">
        <color rgb="FF000000"/>
      </right>
      <top/>
      <bottom style="hair">
        <color rgb="FF000000"/>
      </bottom>
      <diagonal/>
    </border>
    <border>
      <left/>
      <right style="dotted">
        <color rgb="FF000000"/>
      </right>
      <top style="hair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 style="dotted">
        <color rgb="FF000000"/>
      </right>
      <top style="hair">
        <color rgb="FF000000"/>
      </top>
      <bottom/>
      <diagonal/>
    </border>
    <border>
      <left style="hair">
        <color rgb="FF000000"/>
      </left>
      <right style="dotted">
        <color rgb="FF000000"/>
      </right>
      <top/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dotted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/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dotted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dotted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 style="hair">
        <color rgb="FF000000"/>
      </left>
      <right style="dotted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20" fillId="0" borderId="0" applyNumberFormat="0" applyFill="0" applyBorder="0" applyAlignment="0" applyProtection="0"/>
    <xf numFmtId="0" fontId="1" fillId="0" borderId="0"/>
    <xf numFmtId="0" fontId="34" fillId="0" borderId="0" applyNumberFormat="0" applyFill="0" applyBorder="0" applyAlignment="0" applyProtection="0"/>
  </cellStyleXfs>
  <cellXfs count="455">
    <xf numFmtId="0" fontId="0" fillId="0" borderId="0" xfId="0"/>
    <xf numFmtId="0" fontId="3" fillId="0" borderId="0" xfId="0" applyFont="1"/>
    <xf numFmtId="164" fontId="2" fillId="0" borderId="3" xfId="0" applyNumberFormat="1" applyFont="1" applyBorder="1"/>
    <xf numFmtId="0" fontId="2" fillId="0" borderId="2" xfId="0" applyFont="1" applyBorder="1" applyAlignment="1">
      <alignment horizontal="left" vertical="center"/>
    </xf>
    <xf numFmtId="164" fontId="2" fillId="0" borderId="3" xfId="0" applyNumberFormat="1" applyFont="1" applyBorder="1" applyAlignment="1">
      <alignment vertical="center"/>
    </xf>
    <xf numFmtId="0" fontId="7" fillId="0" borderId="18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164" fontId="3" fillId="0" borderId="19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left" vertical="center"/>
    </xf>
    <xf numFmtId="0" fontId="7" fillId="0" borderId="20" xfId="0" applyFont="1" applyBorder="1" applyAlignment="1">
      <alignment horizontal="center" vertical="center"/>
    </xf>
    <xf numFmtId="164" fontId="3" fillId="4" borderId="19" xfId="0" applyNumberFormat="1" applyFont="1" applyFill="1" applyBorder="1" applyAlignment="1">
      <alignment horizontal="center" vertical="center"/>
    </xf>
    <xf numFmtId="164" fontId="3" fillId="0" borderId="19" xfId="0" applyNumberFormat="1" applyFont="1" applyBorder="1" applyAlignment="1">
      <alignment horizontal="left" vertical="center" shrinkToFit="1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/>
    <xf numFmtId="165" fontId="8" fillId="0" borderId="0" xfId="0" applyNumberFormat="1" applyFont="1"/>
    <xf numFmtId="0" fontId="3" fillId="3" borderId="5" xfId="0" applyFont="1" applyFill="1" applyBorder="1" applyAlignment="1">
      <alignment horizontal="left" vertical="center"/>
    </xf>
    <xf numFmtId="164" fontId="3" fillId="3" borderId="19" xfId="0" applyNumberFormat="1" applyFont="1" applyFill="1" applyBorder="1" applyAlignment="1">
      <alignment horizontal="center" vertical="center"/>
    </xf>
    <xf numFmtId="164" fontId="2" fillId="3" borderId="19" xfId="0" applyNumberFormat="1" applyFont="1" applyFill="1" applyBorder="1" applyAlignment="1">
      <alignment horizontal="center" vertical="center"/>
    </xf>
    <xf numFmtId="164" fontId="3" fillId="0" borderId="19" xfId="0" applyNumberFormat="1" applyFont="1" applyBorder="1"/>
    <xf numFmtId="0" fontId="3" fillId="4" borderId="5" xfId="0" applyFont="1" applyFill="1" applyBorder="1" applyAlignment="1">
      <alignment horizontal="left" vertical="center"/>
    </xf>
    <xf numFmtId="164" fontId="3" fillId="4" borderId="19" xfId="0" applyNumberFormat="1" applyFont="1" applyFill="1" applyBorder="1"/>
    <xf numFmtId="0" fontId="2" fillId="0" borderId="5" xfId="0" applyFont="1" applyBorder="1" applyAlignment="1">
      <alignment horizontal="left" vertical="center"/>
    </xf>
    <xf numFmtId="164" fontId="2" fillId="4" borderId="19" xfId="0" applyNumberFormat="1" applyFont="1" applyFill="1" applyBorder="1" applyAlignment="1">
      <alignment horizontal="center" vertical="center"/>
    </xf>
    <xf numFmtId="164" fontId="2" fillId="0" borderId="19" xfId="0" applyNumberFormat="1" applyFont="1" applyBorder="1"/>
    <xf numFmtId="0" fontId="2" fillId="5" borderId="5" xfId="0" applyFont="1" applyFill="1" applyBorder="1" applyAlignment="1">
      <alignment horizontal="left" vertical="center"/>
    </xf>
    <xf numFmtId="164" fontId="2" fillId="5" borderId="19" xfId="0" applyNumberFormat="1" applyFont="1" applyFill="1" applyBorder="1" applyAlignment="1">
      <alignment horizontal="center" vertical="center"/>
    </xf>
    <xf numFmtId="164" fontId="2" fillId="5" borderId="19" xfId="0" applyNumberFormat="1" applyFont="1" applyFill="1" applyBorder="1"/>
    <xf numFmtId="165" fontId="3" fillId="0" borderId="21" xfId="0" applyNumberFormat="1" applyFont="1" applyBorder="1" applyAlignment="1">
      <alignment horizontal="center" vertical="center"/>
    </xf>
    <xf numFmtId="0" fontId="3" fillId="4" borderId="22" xfId="0" applyFont="1" applyFill="1" applyBorder="1" applyAlignment="1">
      <alignment horizontal="left" vertical="center"/>
    </xf>
    <xf numFmtId="0" fontId="3" fillId="4" borderId="23" xfId="0" applyFont="1" applyFill="1" applyBorder="1" applyAlignment="1">
      <alignment horizontal="center"/>
    </xf>
    <xf numFmtId="164" fontId="3" fillId="4" borderId="23" xfId="0" applyNumberFormat="1" applyFont="1" applyFill="1" applyBorder="1" applyAlignment="1">
      <alignment horizontal="center" vertical="center"/>
    </xf>
    <xf numFmtId="164" fontId="3" fillId="4" borderId="19" xfId="0" applyNumberFormat="1" applyFont="1" applyFill="1" applyBorder="1" applyAlignment="1">
      <alignment horizontal="left" vertical="center"/>
    </xf>
    <xf numFmtId="165" fontId="3" fillId="0" borderId="24" xfId="0" applyNumberFormat="1" applyFont="1" applyBorder="1" applyAlignment="1">
      <alignment horizontal="center" vertical="center"/>
    </xf>
    <xf numFmtId="0" fontId="3" fillId="4" borderId="25" xfId="0" applyFont="1" applyFill="1" applyBorder="1" applyAlignment="1">
      <alignment horizontal="center"/>
    </xf>
    <xf numFmtId="164" fontId="3" fillId="4" borderId="25" xfId="0" applyNumberFormat="1" applyFont="1" applyFill="1" applyBorder="1" applyAlignment="1">
      <alignment horizontal="center" vertical="center"/>
    </xf>
    <xf numFmtId="164" fontId="3" fillId="4" borderId="19" xfId="0" applyNumberFormat="1" applyFont="1" applyFill="1" applyBorder="1" applyAlignment="1">
      <alignment horizontal="left" vertical="center" shrinkToFit="1"/>
    </xf>
    <xf numFmtId="164" fontId="8" fillId="4" borderId="19" xfId="0" applyNumberFormat="1" applyFont="1" applyFill="1" applyBorder="1"/>
    <xf numFmtId="164" fontId="3" fillId="4" borderId="19" xfId="0" applyNumberFormat="1" applyFont="1" applyFill="1" applyBorder="1" applyAlignment="1">
      <alignment horizontal="center"/>
    </xf>
    <xf numFmtId="0" fontId="2" fillId="4" borderId="22" xfId="0" applyFont="1" applyFill="1" applyBorder="1" applyAlignment="1">
      <alignment horizontal="left" vertical="center"/>
    </xf>
    <xf numFmtId="0" fontId="2" fillId="4" borderId="25" xfId="0" applyFont="1" applyFill="1" applyBorder="1" applyAlignment="1">
      <alignment horizontal="center"/>
    </xf>
    <xf numFmtId="164" fontId="2" fillId="4" borderId="25" xfId="0" applyNumberFormat="1" applyFont="1" applyFill="1" applyBorder="1" applyAlignment="1">
      <alignment horizontal="center" vertical="center"/>
    </xf>
    <xf numFmtId="164" fontId="2" fillId="4" borderId="19" xfId="0" applyNumberFormat="1" applyFont="1" applyFill="1" applyBorder="1" applyAlignment="1">
      <alignment horizontal="center"/>
    </xf>
    <xf numFmtId="164" fontId="8" fillId="4" borderId="25" xfId="0" applyNumberFormat="1" applyFont="1" applyFill="1" applyBorder="1"/>
    <xf numFmtId="0" fontId="3" fillId="0" borderId="22" xfId="0" applyFont="1" applyBorder="1" applyAlignment="1">
      <alignment horizontal="left" vertical="center"/>
    </xf>
    <xf numFmtId="0" fontId="3" fillId="0" borderId="25" xfId="0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164" fontId="8" fillId="0" borderId="19" xfId="0" applyNumberFormat="1" applyFont="1" applyBorder="1"/>
    <xf numFmtId="164" fontId="2" fillId="0" borderId="3" xfId="0" applyNumberFormat="1" applyFont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3" fillId="4" borderId="23" xfId="0" applyNumberFormat="1" applyFont="1" applyFill="1" applyBorder="1" applyAlignment="1">
      <alignment horizontal="center"/>
    </xf>
    <xf numFmtId="164" fontId="3" fillId="4" borderId="25" xfId="0" applyNumberFormat="1" applyFont="1" applyFill="1" applyBorder="1" applyAlignment="1">
      <alignment horizontal="center"/>
    </xf>
    <xf numFmtId="43" fontId="3" fillId="4" borderId="25" xfId="0" applyNumberFormat="1" applyFont="1" applyFill="1" applyBorder="1" applyAlignment="1">
      <alignment horizontal="center"/>
    </xf>
    <xf numFmtId="164" fontId="2" fillId="4" borderId="25" xfId="0" applyNumberFormat="1" applyFont="1" applyFill="1" applyBorder="1" applyAlignment="1">
      <alignment horizontal="center"/>
    </xf>
    <xf numFmtId="164" fontId="2" fillId="4" borderId="19" xfId="0" applyNumberFormat="1" applyFont="1" applyFill="1" applyBorder="1"/>
    <xf numFmtId="164" fontId="3" fillId="4" borderId="25" xfId="0" applyNumberFormat="1" applyFont="1" applyFill="1" applyBorder="1"/>
    <xf numFmtId="164" fontId="3" fillId="0" borderId="25" xfId="0" applyNumberFormat="1" applyFont="1" applyBorder="1" applyAlignment="1">
      <alignment horizontal="center"/>
    </xf>
    <xf numFmtId="0" fontId="16" fillId="0" borderId="18" xfId="0" applyFont="1" applyBorder="1" applyAlignment="1">
      <alignment horizontal="center" vertical="center"/>
    </xf>
    <xf numFmtId="165" fontId="16" fillId="0" borderId="21" xfId="0" applyNumberFormat="1" applyFont="1" applyBorder="1" applyAlignment="1">
      <alignment horizontal="center" vertical="center"/>
    </xf>
    <xf numFmtId="0" fontId="16" fillId="4" borderId="22" xfId="0" applyFont="1" applyFill="1" applyBorder="1" applyAlignment="1">
      <alignment horizontal="left" vertical="center"/>
    </xf>
    <xf numFmtId="0" fontId="16" fillId="4" borderId="25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164" fontId="16" fillId="4" borderId="26" xfId="0" applyNumberFormat="1" applyFont="1" applyFill="1" applyBorder="1" applyAlignment="1">
      <alignment horizontal="center" vertical="center"/>
    </xf>
    <xf numFmtId="164" fontId="16" fillId="4" borderId="19" xfId="0" applyNumberFormat="1" applyFont="1" applyFill="1" applyBorder="1" applyAlignment="1">
      <alignment horizontal="left" vertical="center"/>
    </xf>
    <xf numFmtId="0" fontId="16" fillId="0" borderId="20" xfId="0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4" fontId="16" fillId="4" borderId="27" xfId="0" applyNumberFormat="1" applyFont="1" applyFill="1" applyBorder="1" applyAlignment="1">
      <alignment horizontal="center" vertical="center"/>
    </xf>
    <xf numFmtId="164" fontId="16" fillId="4" borderId="19" xfId="0" applyNumberFormat="1" applyFont="1" applyFill="1" applyBorder="1" applyAlignment="1">
      <alignment horizontal="left" vertical="center" shrinkToFit="1"/>
    </xf>
    <xf numFmtId="164" fontId="16" fillId="4" borderId="28" xfId="0" applyNumberFormat="1" applyFont="1" applyFill="1" applyBorder="1" applyAlignment="1">
      <alignment horizontal="center" vertical="center"/>
    </xf>
    <xf numFmtId="164" fontId="16" fillId="4" borderId="25" xfId="0" applyNumberFormat="1" applyFont="1" applyFill="1" applyBorder="1" applyAlignment="1">
      <alignment horizontal="center" vertical="center"/>
    </xf>
    <xf numFmtId="164" fontId="16" fillId="4" borderId="19" xfId="0" applyNumberFormat="1" applyFont="1" applyFill="1" applyBorder="1" applyAlignment="1">
      <alignment horizontal="center" vertical="center"/>
    </xf>
    <xf numFmtId="43" fontId="16" fillId="4" borderId="25" xfId="0" applyNumberFormat="1" applyFont="1" applyFill="1" applyBorder="1" applyAlignment="1">
      <alignment horizontal="center"/>
    </xf>
    <xf numFmtId="164" fontId="16" fillId="4" borderId="25" xfId="0" applyNumberFormat="1" applyFont="1" applyFill="1" applyBorder="1" applyAlignment="1">
      <alignment horizontal="center"/>
    </xf>
    <xf numFmtId="164" fontId="16" fillId="4" borderId="19" xfId="0" applyNumberFormat="1" applyFont="1" applyFill="1" applyBorder="1"/>
    <xf numFmtId="0" fontId="17" fillId="4" borderId="22" xfId="0" applyFont="1" applyFill="1" applyBorder="1" applyAlignment="1">
      <alignment horizontal="left" vertical="center"/>
    </xf>
    <xf numFmtId="0" fontId="17" fillId="4" borderId="25" xfId="0" applyFont="1" applyFill="1" applyBorder="1" applyAlignment="1">
      <alignment horizontal="center"/>
    </xf>
    <xf numFmtId="164" fontId="17" fillId="4" borderId="25" xfId="0" applyNumberFormat="1" applyFont="1" applyFill="1" applyBorder="1" applyAlignment="1">
      <alignment horizontal="center" vertical="center"/>
    </xf>
    <xf numFmtId="164" fontId="17" fillId="4" borderId="19" xfId="0" applyNumberFormat="1" applyFont="1" applyFill="1" applyBorder="1"/>
    <xf numFmtId="164" fontId="16" fillId="4" borderId="25" xfId="0" applyNumberFormat="1" applyFont="1" applyFill="1" applyBorder="1"/>
    <xf numFmtId="0" fontId="16" fillId="0" borderId="22" xfId="0" applyFont="1" applyBorder="1" applyAlignment="1">
      <alignment horizontal="left" vertical="center"/>
    </xf>
    <xf numFmtId="0" fontId="16" fillId="0" borderId="25" xfId="0" applyFont="1" applyBorder="1" applyAlignment="1">
      <alignment horizontal="center"/>
    </xf>
    <xf numFmtId="164" fontId="16" fillId="0" borderId="19" xfId="0" applyNumberFormat="1" applyFont="1" applyBorder="1"/>
    <xf numFmtId="0" fontId="15" fillId="7" borderId="29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left"/>
    </xf>
    <xf numFmtId="166" fontId="16" fillId="0" borderId="24" xfId="0" applyNumberFormat="1" applyFont="1" applyBorder="1" applyAlignment="1">
      <alignment horizontal="center" vertical="center"/>
    </xf>
    <xf numFmtId="166" fontId="16" fillId="4" borderId="31" xfId="0" applyNumberFormat="1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left"/>
    </xf>
    <xf numFmtId="0" fontId="16" fillId="4" borderId="28" xfId="0" applyFont="1" applyFill="1" applyBorder="1" applyAlignment="1">
      <alignment horizontal="left"/>
    </xf>
    <xf numFmtId="0" fontId="18" fillId="4" borderId="25" xfId="0" applyFont="1" applyFill="1" applyBorder="1" applyAlignment="1">
      <alignment horizontal="center"/>
    </xf>
    <xf numFmtId="0" fontId="16" fillId="0" borderId="32" xfId="0" applyFont="1" applyBorder="1" applyAlignment="1">
      <alignment horizontal="center" vertical="center"/>
    </xf>
    <xf numFmtId="166" fontId="16" fillId="0" borderId="33" xfId="0" applyNumberFormat="1" applyFont="1" applyBorder="1" applyAlignment="1">
      <alignment horizontal="center" vertical="center"/>
    </xf>
    <xf numFmtId="166" fontId="16" fillId="4" borderId="33" xfId="0" applyNumberFormat="1" applyFont="1" applyFill="1" applyBorder="1" applyAlignment="1">
      <alignment horizontal="center" vertical="center"/>
    </xf>
    <xf numFmtId="0" fontId="16" fillId="4" borderId="34" xfId="0" applyFont="1" applyFill="1" applyBorder="1" applyAlignment="1">
      <alignment horizontal="left" vertical="center"/>
    </xf>
    <xf numFmtId="0" fontId="16" fillId="4" borderId="35" xfId="0" applyFont="1" applyFill="1" applyBorder="1" applyAlignment="1">
      <alignment horizontal="left"/>
    </xf>
    <xf numFmtId="0" fontId="16" fillId="4" borderId="35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164" fontId="16" fillId="4" borderId="36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164" fontId="17" fillId="7" borderId="0" xfId="0" applyNumberFormat="1" applyFont="1" applyFill="1" applyAlignment="1">
      <alignment horizontal="center" vertical="center"/>
    </xf>
    <xf numFmtId="164" fontId="16" fillId="4" borderId="3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17" fillId="0" borderId="39" xfId="0" applyFont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7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4" borderId="21" xfId="0" applyFont="1" applyFill="1" applyBorder="1" applyAlignment="1">
      <alignment horizontal="left" vertical="center"/>
    </xf>
    <xf numFmtId="0" fontId="16" fillId="4" borderId="42" xfId="0" applyFont="1" applyFill="1" applyBorder="1" applyAlignment="1">
      <alignment horizontal="left" vertical="center"/>
    </xf>
    <xf numFmtId="0" fontId="16" fillId="4" borderId="28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left" vertical="center"/>
    </xf>
    <xf numFmtId="0" fontId="17" fillId="4" borderId="24" xfId="0" applyFont="1" applyFill="1" applyBorder="1" applyAlignment="1">
      <alignment horizontal="left" vertical="center"/>
    </xf>
    <xf numFmtId="0" fontId="16" fillId="0" borderId="24" xfId="0" applyFont="1" applyBorder="1" applyAlignment="1">
      <alignment horizontal="left" vertical="center"/>
    </xf>
    <xf numFmtId="0" fontId="19" fillId="0" borderId="0" xfId="0" applyFont="1"/>
    <xf numFmtId="0" fontId="2" fillId="2" borderId="29" xfId="0" applyFont="1" applyFill="1" applyBorder="1" applyAlignment="1">
      <alignment horizontal="center" vertical="center"/>
    </xf>
    <xf numFmtId="0" fontId="12" fillId="6" borderId="29" xfId="0" applyFont="1" applyFill="1" applyBorder="1" applyAlignment="1">
      <alignment horizontal="center" vertical="center"/>
    </xf>
    <xf numFmtId="164" fontId="3" fillId="4" borderId="26" xfId="0" applyNumberFormat="1" applyFont="1" applyFill="1" applyBorder="1" applyAlignment="1">
      <alignment horizontal="center" vertical="center"/>
    </xf>
    <xf numFmtId="164" fontId="16" fillId="4" borderId="43" xfId="0" applyNumberFormat="1" applyFont="1" applyFill="1" applyBorder="1" applyAlignment="1">
      <alignment horizontal="center" vertical="center"/>
    </xf>
    <xf numFmtId="164" fontId="17" fillId="4" borderId="38" xfId="0" applyNumberFormat="1" applyFont="1" applyFill="1" applyBorder="1" applyAlignment="1">
      <alignment horizontal="center" vertical="center"/>
    </xf>
    <xf numFmtId="164" fontId="16" fillId="4" borderId="38" xfId="0" applyNumberFormat="1" applyFont="1" applyFill="1" applyBorder="1"/>
    <xf numFmtId="3" fontId="16" fillId="4" borderId="38" xfId="0" applyNumberFormat="1" applyFont="1" applyFill="1" applyBorder="1" applyAlignment="1">
      <alignment horizontal="center" vertical="center"/>
    </xf>
    <xf numFmtId="3" fontId="16" fillId="4" borderId="44" xfId="0" applyNumberFormat="1" applyFont="1" applyFill="1" applyBorder="1" applyAlignment="1">
      <alignment horizontal="center" vertical="center"/>
    </xf>
    <xf numFmtId="4" fontId="16" fillId="4" borderId="38" xfId="0" applyNumberFormat="1" applyFont="1" applyFill="1" applyBorder="1" applyAlignment="1">
      <alignment horizontal="center" vertical="center"/>
    </xf>
    <xf numFmtId="167" fontId="7" fillId="4" borderId="26" xfId="0" applyNumberFormat="1" applyFont="1" applyFill="1" applyBorder="1" applyAlignment="1">
      <alignment horizontal="center" vertical="center"/>
    </xf>
    <xf numFmtId="167" fontId="7" fillId="4" borderId="27" xfId="0" applyNumberFormat="1" applyFont="1" applyFill="1" applyBorder="1" applyAlignment="1">
      <alignment horizontal="center" vertical="center"/>
    </xf>
    <xf numFmtId="167" fontId="7" fillId="4" borderId="28" xfId="0" applyNumberFormat="1" applyFont="1" applyFill="1" applyBorder="1" applyAlignment="1">
      <alignment horizontal="center" vertical="center"/>
    </xf>
    <xf numFmtId="167" fontId="7" fillId="4" borderId="25" xfId="0" applyNumberFormat="1" applyFont="1" applyFill="1" applyBorder="1" applyAlignment="1">
      <alignment horizontal="center" vertical="center"/>
    </xf>
    <xf numFmtId="167" fontId="21" fillId="4" borderId="25" xfId="1" applyNumberFormat="1" applyFont="1" applyFill="1" applyBorder="1" applyAlignment="1">
      <alignment horizontal="center" vertical="center"/>
    </xf>
    <xf numFmtId="164" fontId="7" fillId="4" borderId="25" xfId="0" applyNumberFormat="1" applyFont="1" applyFill="1" applyBorder="1" applyAlignment="1">
      <alignment horizontal="right" vertical="center"/>
    </xf>
    <xf numFmtId="164" fontId="7" fillId="4" borderId="25" xfId="0" applyNumberFormat="1" applyFont="1" applyFill="1" applyBorder="1" applyAlignment="1">
      <alignment horizontal="center" vertical="center"/>
    </xf>
    <xf numFmtId="166" fontId="7" fillId="0" borderId="21" xfId="0" applyNumberFormat="1" applyFont="1" applyBorder="1" applyAlignment="1">
      <alignment horizontal="center" vertical="center"/>
    </xf>
    <xf numFmtId="166" fontId="7" fillId="4" borderId="30" xfId="0" applyNumberFormat="1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left" vertical="center"/>
    </xf>
    <xf numFmtId="0" fontId="7" fillId="4" borderId="25" xfId="0" applyFont="1" applyFill="1" applyBorder="1" applyAlignment="1">
      <alignment horizontal="left"/>
    </xf>
    <xf numFmtId="0" fontId="22" fillId="4" borderId="25" xfId="0" applyFont="1" applyFill="1" applyBorder="1" applyAlignment="1">
      <alignment horizontal="center"/>
    </xf>
    <xf numFmtId="0" fontId="22" fillId="4" borderId="28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/>
    </xf>
    <xf numFmtId="164" fontId="7" fillId="4" borderId="19" xfId="0" applyNumberFormat="1" applyFont="1" applyFill="1" applyBorder="1" applyAlignment="1">
      <alignment horizontal="left" vertical="center"/>
    </xf>
    <xf numFmtId="166" fontId="7" fillId="0" borderId="24" xfId="0" applyNumberFormat="1" applyFont="1" applyBorder="1" applyAlignment="1">
      <alignment horizontal="center" vertical="center"/>
    </xf>
    <xf numFmtId="0" fontId="7" fillId="4" borderId="25" xfId="0" applyFont="1" applyFill="1" applyBorder="1" applyAlignment="1">
      <alignment horizontal="center"/>
    </xf>
    <xf numFmtId="164" fontId="7" fillId="4" borderId="19" xfId="0" applyNumberFormat="1" applyFont="1" applyFill="1" applyBorder="1" applyAlignment="1">
      <alignment horizontal="left" vertical="center" shrinkToFit="1"/>
    </xf>
    <xf numFmtId="166" fontId="7" fillId="4" borderId="31" xfId="0" applyNumberFormat="1" applyFont="1" applyFill="1" applyBorder="1" applyAlignment="1">
      <alignment horizontal="center" vertical="center"/>
    </xf>
    <xf numFmtId="164" fontId="7" fillId="4" borderId="19" xfId="0" applyNumberFormat="1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left"/>
    </xf>
    <xf numFmtId="0" fontId="7" fillId="4" borderId="28" xfId="0" applyFont="1" applyFill="1" applyBorder="1" applyAlignment="1">
      <alignment horizontal="left"/>
    </xf>
    <xf numFmtId="164" fontId="23" fillId="4" borderId="19" xfId="0" applyNumberFormat="1" applyFont="1" applyFill="1" applyBorder="1" applyAlignment="1">
      <alignment horizontal="center" vertical="center"/>
    </xf>
    <xf numFmtId="43" fontId="7" fillId="4" borderId="25" xfId="0" applyNumberFormat="1" applyFont="1" applyFill="1" applyBorder="1" applyAlignment="1">
      <alignment horizontal="center"/>
    </xf>
    <xf numFmtId="0" fontId="23" fillId="4" borderId="25" xfId="0" applyFont="1" applyFill="1" applyBorder="1" applyAlignment="1">
      <alignment horizontal="center"/>
    </xf>
    <xf numFmtId="0" fontId="24" fillId="7" borderId="29" xfId="0" applyFont="1" applyFill="1" applyBorder="1" applyAlignment="1">
      <alignment horizontal="center" vertical="center"/>
    </xf>
    <xf numFmtId="0" fontId="25" fillId="7" borderId="29" xfId="0" applyFont="1" applyFill="1" applyBorder="1" applyAlignment="1">
      <alignment horizontal="center" vertical="center"/>
    </xf>
    <xf numFmtId="0" fontId="24" fillId="7" borderId="29" xfId="0" applyFont="1" applyFill="1" applyBorder="1" applyAlignment="1">
      <alignment horizontal="center" vertical="center" wrapText="1"/>
    </xf>
    <xf numFmtId="0" fontId="25" fillId="7" borderId="29" xfId="0" applyFont="1" applyFill="1" applyBorder="1" applyAlignment="1">
      <alignment horizontal="center" vertical="center" wrapText="1"/>
    </xf>
    <xf numFmtId="168" fontId="7" fillId="4" borderId="26" xfId="0" applyNumberFormat="1" applyFont="1" applyFill="1" applyBorder="1" applyAlignment="1">
      <alignment horizontal="center" vertical="center"/>
    </xf>
    <xf numFmtId="168" fontId="7" fillId="4" borderId="38" xfId="0" applyNumberFormat="1" applyFont="1" applyFill="1" applyBorder="1" applyAlignment="1">
      <alignment horizontal="center" vertical="center"/>
    </xf>
    <xf numFmtId="168" fontId="16" fillId="4" borderId="38" xfId="0" applyNumberFormat="1" applyFont="1" applyFill="1" applyBorder="1" applyAlignment="1">
      <alignment horizontal="center" vertical="center"/>
    </xf>
    <xf numFmtId="0" fontId="22" fillId="4" borderId="45" xfId="0" applyFont="1" applyFill="1" applyBorder="1" applyAlignment="1">
      <alignment horizontal="center"/>
    </xf>
    <xf numFmtId="0" fontId="20" fillId="4" borderId="28" xfId="1" applyFill="1" applyBorder="1" applyAlignment="1">
      <alignment horizontal="center"/>
    </xf>
    <xf numFmtId="1" fontId="22" fillId="4" borderId="25" xfId="0" applyNumberFormat="1" applyFont="1" applyFill="1" applyBorder="1" applyAlignment="1">
      <alignment horizontal="center" wrapText="1"/>
    </xf>
    <xf numFmtId="1" fontId="22" fillId="4" borderId="25" xfId="0" applyNumberFormat="1" applyFont="1" applyFill="1" applyBorder="1" applyAlignment="1">
      <alignment horizontal="center"/>
    </xf>
    <xf numFmtId="1" fontId="7" fillId="4" borderId="25" xfId="0" applyNumberFormat="1" applyFont="1" applyFill="1" applyBorder="1" applyAlignment="1">
      <alignment horizontal="center"/>
    </xf>
    <xf numFmtId="1" fontId="23" fillId="4" borderId="25" xfId="0" applyNumberFormat="1" applyFont="1" applyFill="1" applyBorder="1" applyAlignment="1">
      <alignment horizontal="center"/>
    </xf>
    <xf numFmtId="1" fontId="16" fillId="4" borderId="25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26" fillId="4" borderId="19" xfId="1" applyNumberFormat="1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/>
    </xf>
    <xf numFmtId="164" fontId="16" fillId="4" borderId="50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7" fillId="0" borderId="51" xfId="0" applyNumberFormat="1" applyFont="1" applyBorder="1" applyAlignment="1">
      <alignment horizontal="center" vertical="center"/>
    </xf>
    <xf numFmtId="166" fontId="7" fillId="4" borderId="52" xfId="0" applyNumberFormat="1" applyFont="1" applyFill="1" applyBorder="1" applyAlignment="1">
      <alignment horizontal="center" vertical="center"/>
    </xf>
    <xf numFmtId="0" fontId="7" fillId="4" borderId="53" xfId="0" applyFont="1" applyFill="1" applyBorder="1" applyAlignment="1">
      <alignment horizontal="left" vertical="center"/>
    </xf>
    <xf numFmtId="0" fontId="7" fillId="4" borderId="54" xfId="0" applyFont="1" applyFill="1" applyBorder="1" applyAlignment="1">
      <alignment horizontal="left"/>
    </xf>
    <xf numFmtId="1" fontId="7" fillId="4" borderId="54" xfId="0" applyNumberFormat="1" applyFont="1" applyFill="1" applyBorder="1" applyAlignment="1">
      <alignment horizontal="center"/>
    </xf>
    <xf numFmtId="0" fontId="7" fillId="4" borderId="54" xfId="0" applyFont="1" applyFill="1" applyBorder="1" applyAlignment="1">
      <alignment horizontal="center"/>
    </xf>
    <xf numFmtId="0" fontId="20" fillId="4" borderId="54" xfId="1" applyFill="1" applyBorder="1" applyAlignment="1">
      <alignment horizontal="center"/>
    </xf>
    <xf numFmtId="167" fontId="7" fillId="4" borderId="54" xfId="0" applyNumberFormat="1" applyFont="1" applyFill="1" applyBorder="1" applyAlignment="1">
      <alignment horizontal="center" vertical="center"/>
    </xf>
    <xf numFmtId="168" fontId="7" fillId="4" borderId="55" xfId="0" applyNumberFormat="1" applyFont="1" applyFill="1" applyBorder="1" applyAlignment="1">
      <alignment horizontal="center" vertical="center"/>
    </xf>
    <xf numFmtId="0" fontId="7" fillId="4" borderId="52" xfId="0" applyFont="1" applyFill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6" fontId="7" fillId="0" borderId="56" xfId="0" applyNumberFormat="1" applyFont="1" applyBorder="1" applyAlignment="1">
      <alignment horizontal="center" vertical="center"/>
    </xf>
    <xf numFmtId="166" fontId="7" fillId="4" borderId="57" xfId="0" applyNumberFormat="1" applyFont="1" applyFill="1" applyBorder="1" applyAlignment="1">
      <alignment horizontal="center" vertical="center"/>
    </xf>
    <xf numFmtId="0" fontId="7" fillId="4" borderId="58" xfId="0" applyFont="1" applyFill="1" applyBorder="1" applyAlignment="1">
      <alignment horizontal="left" vertical="center"/>
    </xf>
    <xf numFmtId="0" fontId="7" fillId="4" borderId="59" xfId="0" applyFont="1" applyFill="1" applyBorder="1" applyAlignment="1">
      <alignment horizontal="left"/>
    </xf>
    <xf numFmtId="1" fontId="7" fillId="4" borderId="59" xfId="0" applyNumberFormat="1" applyFont="1" applyFill="1" applyBorder="1" applyAlignment="1">
      <alignment horizontal="center"/>
    </xf>
    <xf numFmtId="0" fontId="7" fillId="4" borderId="59" xfId="0" applyFont="1" applyFill="1" applyBorder="1" applyAlignment="1">
      <alignment horizontal="center"/>
    </xf>
    <xf numFmtId="0" fontId="20" fillId="4" borderId="60" xfId="1" applyFill="1" applyBorder="1" applyAlignment="1">
      <alignment horizontal="center"/>
    </xf>
    <xf numFmtId="167" fontId="7" fillId="4" borderId="59" xfId="0" applyNumberFormat="1" applyFont="1" applyFill="1" applyBorder="1" applyAlignment="1">
      <alignment horizontal="center" vertical="center"/>
    </xf>
    <xf numFmtId="168" fontId="7" fillId="4" borderId="61" xfId="0" applyNumberFormat="1" applyFont="1" applyFill="1" applyBorder="1" applyAlignment="1">
      <alignment horizontal="center" vertical="center"/>
    </xf>
    <xf numFmtId="0" fontId="7" fillId="4" borderId="57" xfId="0" applyFont="1" applyFill="1" applyBorder="1" applyAlignment="1">
      <alignment horizontal="center"/>
    </xf>
    <xf numFmtId="0" fontId="7" fillId="0" borderId="62" xfId="0" applyFont="1" applyBorder="1" applyAlignment="1">
      <alignment horizontal="center" vertical="center"/>
    </xf>
    <xf numFmtId="166" fontId="7" fillId="0" borderId="63" xfId="0" applyNumberFormat="1" applyFont="1" applyBorder="1" applyAlignment="1">
      <alignment horizontal="center" vertical="center"/>
    </xf>
    <xf numFmtId="166" fontId="7" fillId="4" borderId="64" xfId="0" applyNumberFormat="1" applyFont="1" applyFill="1" applyBorder="1" applyAlignment="1">
      <alignment horizontal="center" vertical="center"/>
    </xf>
    <xf numFmtId="0" fontId="7" fillId="4" borderId="65" xfId="0" applyFont="1" applyFill="1" applyBorder="1" applyAlignment="1">
      <alignment horizontal="left" vertical="center"/>
    </xf>
    <xf numFmtId="0" fontId="7" fillId="4" borderId="26" xfId="0" applyFont="1" applyFill="1" applyBorder="1" applyAlignment="1">
      <alignment horizontal="left"/>
    </xf>
    <xf numFmtId="1" fontId="7" fillId="4" borderId="36" xfId="0" applyNumberFormat="1" applyFont="1" applyFill="1" applyBorder="1" applyAlignment="1">
      <alignment horizontal="center"/>
    </xf>
    <xf numFmtId="0" fontId="7" fillId="4" borderId="36" xfId="0" applyFont="1" applyFill="1" applyBorder="1" applyAlignment="1">
      <alignment horizontal="center"/>
    </xf>
    <xf numFmtId="167" fontId="7" fillId="4" borderId="36" xfId="0" applyNumberFormat="1" applyFont="1" applyFill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4" borderId="42" xfId="0" applyFont="1" applyFill="1" applyBorder="1" applyAlignment="1">
      <alignment horizontal="left" vertical="center"/>
    </xf>
    <xf numFmtId="1" fontId="7" fillId="4" borderId="28" xfId="0" applyNumberFormat="1" applyFont="1" applyFill="1" applyBorder="1" applyAlignment="1">
      <alignment horizontal="center"/>
    </xf>
    <xf numFmtId="0" fontId="7" fillId="4" borderId="28" xfId="0" applyFont="1" applyFill="1" applyBorder="1" applyAlignment="1">
      <alignment horizontal="center"/>
    </xf>
    <xf numFmtId="168" fontId="7" fillId="4" borderId="45" xfId="0" applyNumberFormat="1" applyFont="1" applyFill="1" applyBorder="1" applyAlignment="1">
      <alignment horizontal="center" vertical="center"/>
    </xf>
    <xf numFmtId="164" fontId="20" fillId="4" borderId="50" xfId="1" applyNumberFormat="1" applyFill="1" applyBorder="1" applyAlignment="1">
      <alignment horizontal="center" vertical="center"/>
    </xf>
    <xf numFmtId="164" fontId="7" fillId="4" borderId="49" xfId="0" applyNumberFormat="1" applyFont="1" applyFill="1" applyBorder="1" applyAlignment="1">
      <alignment horizontal="center" vertical="center"/>
    </xf>
    <xf numFmtId="164" fontId="7" fillId="4" borderId="19" xfId="0" applyNumberFormat="1" applyFont="1" applyFill="1" applyBorder="1" applyAlignment="1">
      <alignment horizontal="center" vertical="center" shrinkToFit="1"/>
    </xf>
    <xf numFmtId="164" fontId="20" fillId="4" borderId="49" xfId="1" applyNumberFormat="1" applyFill="1" applyBorder="1" applyAlignment="1">
      <alignment horizontal="center" vertical="center"/>
    </xf>
    <xf numFmtId="164" fontId="27" fillId="8" borderId="19" xfId="0" applyNumberFormat="1" applyFont="1" applyFill="1" applyBorder="1" applyAlignment="1">
      <alignment horizontal="center" vertical="center" shrinkToFit="1"/>
    </xf>
    <xf numFmtId="164" fontId="27" fillId="8" borderId="19" xfId="0" applyNumberFormat="1" applyFont="1" applyFill="1" applyBorder="1" applyAlignment="1">
      <alignment horizontal="center" vertical="center"/>
    </xf>
    <xf numFmtId="164" fontId="27" fillId="8" borderId="50" xfId="0" applyNumberFormat="1" applyFont="1" applyFill="1" applyBorder="1" applyAlignment="1">
      <alignment horizontal="center" vertical="center"/>
    </xf>
    <xf numFmtId="166" fontId="7" fillId="0" borderId="30" xfId="0" applyNumberFormat="1" applyFont="1" applyBorder="1" applyAlignment="1">
      <alignment horizontal="center" vertical="center"/>
    </xf>
    <xf numFmtId="164" fontId="20" fillId="4" borderId="19" xfId="1" applyNumberFormat="1" applyFill="1" applyBorder="1" applyAlignment="1">
      <alignment horizontal="center" vertical="center"/>
    </xf>
    <xf numFmtId="164" fontId="28" fillId="4" borderId="19" xfId="0" applyNumberFormat="1" applyFont="1" applyFill="1" applyBorder="1" applyAlignment="1">
      <alignment horizontal="center" vertical="center"/>
    </xf>
    <xf numFmtId="0" fontId="20" fillId="4" borderId="25" xfId="1" applyFill="1" applyBorder="1" applyAlignment="1">
      <alignment horizontal="center"/>
    </xf>
    <xf numFmtId="4" fontId="20" fillId="4" borderId="38" xfId="1" applyNumberFormat="1" applyFill="1" applyBorder="1" applyAlignment="1">
      <alignment horizontal="center" vertical="center"/>
    </xf>
    <xf numFmtId="0" fontId="24" fillId="7" borderId="67" xfId="0" applyFont="1" applyFill="1" applyBorder="1" applyAlignment="1">
      <alignment horizontal="center" vertical="center"/>
    </xf>
    <xf numFmtId="0" fontId="24" fillId="7" borderId="68" xfId="0" applyFont="1" applyFill="1" applyBorder="1" applyAlignment="1">
      <alignment horizontal="center" vertical="center"/>
    </xf>
    <xf numFmtId="0" fontId="25" fillId="7" borderId="45" xfId="0" applyFont="1" applyFill="1" applyBorder="1" applyAlignment="1">
      <alignment horizontal="center" vertical="center" wrapText="1"/>
    </xf>
    <xf numFmtId="0" fontId="25" fillId="7" borderId="45" xfId="0" applyFont="1" applyFill="1" applyBorder="1" applyAlignment="1">
      <alignment horizontal="center" vertical="center"/>
    </xf>
    <xf numFmtId="0" fontId="24" fillId="7" borderId="45" xfId="0" applyFont="1" applyFill="1" applyBorder="1" applyAlignment="1">
      <alignment horizontal="center" vertical="center"/>
    </xf>
    <xf numFmtId="0" fontId="24" fillId="7" borderId="45" xfId="0" applyFont="1" applyFill="1" applyBorder="1" applyAlignment="1">
      <alignment horizontal="center" vertical="center" wrapText="1"/>
    </xf>
    <xf numFmtId="164" fontId="27" fillId="8" borderId="71" xfId="0" applyNumberFormat="1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 wrapText="1"/>
    </xf>
    <xf numFmtId="0" fontId="25" fillId="7" borderId="70" xfId="0" applyFont="1" applyFill="1" applyBorder="1" applyAlignment="1">
      <alignment horizontal="center" vertical="center" wrapText="1"/>
    </xf>
    <xf numFmtId="0" fontId="25" fillId="7" borderId="0" xfId="0" applyFont="1" applyFill="1" applyAlignment="1">
      <alignment horizontal="center" vertical="center"/>
    </xf>
    <xf numFmtId="0" fontId="24" fillId="7" borderId="69" xfId="0" applyFont="1" applyFill="1" applyBorder="1" applyAlignment="1">
      <alignment horizontal="center" vertical="center" wrapText="1"/>
    </xf>
    <xf numFmtId="0" fontId="24" fillId="7" borderId="0" xfId="0" applyFont="1" applyFill="1" applyAlignment="1">
      <alignment horizontal="center" vertical="center"/>
    </xf>
    <xf numFmtId="167" fontId="20" fillId="4" borderId="25" xfId="1" applyNumberFormat="1" applyFill="1" applyBorder="1" applyAlignment="1">
      <alignment horizontal="center" vertical="center"/>
    </xf>
    <xf numFmtId="164" fontId="29" fillId="4" borderId="19" xfId="0" applyNumberFormat="1" applyFont="1" applyFill="1" applyBorder="1" applyAlignment="1">
      <alignment horizontal="center" vertical="center"/>
    </xf>
    <xf numFmtId="164" fontId="7" fillId="4" borderId="19" xfId="0" applyNumberFormat="1" applyFont="1" applyFill="1" applyBorder="1" applyAlignment="1">
      <alignment horizontal="left" vertical="top" shrinkToFit="1"/>
    </xf>
    <xf numFmtId="0" fontId="0" fillId="0" borderId="0" xfId="0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70" fontId="0" fillId="0" borderId="0" xfId="0" applyNumberFormat="1"/>
    <xf numFmtId="171" fontId="0" fillId="0" borderId="0" xfId="0" applyNumberFormat="1" applyAlignment="1">
      <alignment horizontal="center" vertical="center"/>
    </xf>
    <xf numFmtId="171" fontId="0" fillId="0" borderId="0" xfId="0" applyNumberFormat="1"/>
    <xf numFmtId="1" fontId="0" fillId="0" borderId="0" xfId="0" applyNumberFormat="1" applyAlignment="1">
      <alignment horizontal="center" vertical="center"/>
    </xf>
    <xf numFmtId="167" fontId="7" fillId="4" borderId="23" xfId="0" applyNumberFormat="1" applyFont="1" applyFill="1" applyBorder="1" applyAlignment="1">
      <alignment horizontal="center" vertical="center"/>
    </xf>
    <xf numFmtId="0" fontId="31" fillId="4" borderId="23" xfId="0" applyFont="1" applyFill="1" applyBorder="1" applyAlignment="1">
      <alignment horizontal="center"/>
    </xf>
    <xf numFmtId="1" fontId="20" fillId="4" borderId="25" xfId="1" applyNumberFormat="1" applyFill="1" applyBorder="1" applyAlignment="1">
      <alignment horizontal="center"/>
    </xf>
    <xf numFmtId="164" fontId="27" fillId="8" borderId="19" xfId="0" applyNumberFormat="1" applyFont="1" applyFill="1" applyBorder="1" applyAlignment="1">
      <alignment horizontal="left" vertical="center" shrinkToFit="1"/>
    </xf>
    <xf numFmtId="171" fontId="22" fillId="4" borderId="45" xfId="0" applyNumberFormat="1" applyFont="1" applyFill="1" applyBorder="1" applyAlignment="1">
      <alignment horizontal="center"/>
    </xf>
    <xf numFmtId="164" fontId="27" fillId="4" borderId="19" xfId="0" applyNumberFormat="1" applyFont="1" applyFill="1" applyBorder="1" applyAlignment="1">
      <alignment horizontal="left" vertical="center"/>
    </xf>
    <xf numFmtId="164" fontId="27" fillId="4" borderId="19" xfId="0" applyNumberFormat="1" applyFont="1" applyFill="1" applyBorder="1" applyAlignment="1">
      <alignment horizontal="left" vertical="center" shrinkToFit="1"/>
    </xf>
    <xf numFmtId="0" fontId="32" fillId="0" borderId="0" xfId="0" applyFont="1"/>
    <xf numFmtId="0" fontId="7" fillId="4" borderId="25" xfId="0" applyFont="1" applyFill="1" applyBorder="1" applyAlignment="1">
      <alignment horizontal="left" wrapText="1"/>
    </xf>
    <xf numFmtId="42" fontId="7" fillId="4" borderId="25" xfId="0" applyNumberFormat="1" applyFont="1" applyFill="1" applyBorder="1" applyAlignment="1">
      <alignment horizontal="center"/>
    </xf>
    <xf numFmtId="42" fontId="23" fillId="4" borderId="25" xfId="0" applyNumberFormat="1" applyFont="1" applyFill="1" applyBorder="1" applyAlignment="1">
      <alignment horizontal="center"/>
    </xf>
    <xf numFmtId="42" fontId="16" fillId="4" borderId="25" xfId="0" applyNumberFormat="1" applyFont="1" applyFill="1" applyBorder="1" applyAlignment="1">
      <alignment horizontal="center"/>
    </xf>
    <xf numFmtId="42" fontId="18" fillId="4" borderId="25" xfId="0" applyNumberFormat="1" applyFont="1" applyFill="1" applyBorder="1" applyAlignment="1">
      <alignment horizontal="center"/>
    </xf>
    <xf numFmtId="42" fontId="16" fillId="4" borderId="36" xfId="0" applyNumberFormat="1" applyFont="1" applyFill="1" applyBorder="1" applyAlignment="1">
      <alignment horizontal="center"/>
    </xf>
    <xf numFmtId="42" fontId="17" fillId="0" borderId="0" xfId="0" applyNumberFormat="1" applyFont="1" applyAlignment="1">
      <alignment horizontal="center" vertical="center"/>
    </xf>
    <xf numFmtId="42" fontId="17" fillId="0" borderId="0" xfId="0" applyNumberFormat="1" applyFont="1" applyAlignment="1">
      <alignment horizontal="right" vertical="center"/>
    </xf>
    <xf numFmtId="42" fontId="16" fillId="0" borderId="0" xfId="0" applyNumberFormat="1" applyFont="1" applyAlignment="1">
      <alignment horizontal="right" vertical="center"/>
    </xf>
    <xf numFmtId="42" fontId="16" fillId="4" borderId="28" xfId="0" applyNumberFormat="1" applyFont="1" applyFill="1" applyBorder="1" applyAlignment="1">
      <alignment horizontal="center"/>
    </xf>
    <xf numFmtId="42" fontId="17" fillId="4" borderId="25" xfId="0" applyNumberFormat="1" applyFont="1" applyFill="1" applyBorder="1" applyAlignment="1">
      <alignment horizontal="center"/>
    </xf>
    <xf numFmtId="42" fontId="16" fillId="0" borderId="25" xfId="0" applyNumberFormat="1" applyFont="1" applyBorder="1" applyAlignment="1">
      <alignment horizontal="center"/>
    </xf>
    <xf numFmtId="42" fontId="0" fillId="0" borderId="0" xfId="0" applyNumberFormat="1"/>
    <xf numFmtId="164" fontId="28" fillId="4" borderId="19" xfId="0" applyNumberFormat="1" applyFont="1" applyFill="1" applyBorder="1" applyAlignment="1">
      <alignment horizontal="left" vertical="center" shrinkToFit="1"/>
    </xf>
    <xf numFmtId="172" fontId="0" fillId="0" borderId="0" xfId="0" applyNumberFormat="1"/>
    <xf numFmtId="0" fontId="32" fillId="0" borderId="0" xfId="0" applyFont="1" applyAlignment="1">
      <alignment horizontal="center"/>
    </xf>
    <xf numFmtId="0" fontId="20" fillId="4" borderId="22" xfId="1" applyFill="1" applyBorder="1" applyAlignment="1">
      <alignment horizontal="left" vertical="center"/>
    </xf>
    <xf numFmtId="168" fontId="20" fillId="4" borderId="26" xfId="1" applyNumberFormat="1" applyFill="1" applyBorder="1" applyAlignment="1">
      <alignment horizontal="center" vertical="center"/>
    </xf>
    <xf numFmtId="166" fontId="27" fillId="8" borderId="24" xfId="0" applyNumberFormat="1" applyFont="1" applyFill="1" applyBorder="1" applyAlignment="1">
      <alignment horizontal="center" vertical="center"/>
    </xf>
    <xf numFmtId="166" fontId="27" fillId="8" borderId="31" xfId="0" applyNumberFormat="1" applyFont="1" applyFill="1" applyBorder="1" applyAlignment="1">
      <alignment horizontal="center" vertical="center"/>
    </xf>
    <xf numFmtId="0" fontId="33" fillId="8" borderId="22" xfId="1" applyFont="1" applyFill="1" applyBorder="1" applyAlignment="1">
      <alignment horizontal="left" vertical="center"/>
    </xf>
    <xf numFmtId="0" fontId="27" fillId="8" borderId="25" xfId="0" applyFont="1" applyFill="1" applyBorder="1" applyAlignment="1">
      <alignment horizontal="left"/>
    </xf>
    <xf numFmtId="1" fontId="28" fillId="8" borderId="25" xfId="0" applyNumberFormat="1" applyFont="1" applyFill="1" applyBorder="1" applyAlignment="1">
      <alignment horizontal="center"/>
    </xf>
    <xf numFmtId="0" fontId="33" fillId="8" borderId="25" xfId="1" applyFont="1" applyFill="1" applyBorder="1" applyAlignment="1">
      <alignment horizontal="center"/>
    </xf>
    <xf numFmtId="0" fontId="28" fillId="8" borderId="28" xfId="0" applyFont="1" applyFill="1" applyBorder="1" applyAlignment="1">
      <alignment horizontal="center"/>
    </xf>
    <xf numFmtId="168" fontId="27" fillId="8" borderId="26" xfId="0" applyNumberFormat="1" applyFont="1" applyFill="1" applyBorder="1" applyAlignment="1">
      <alignment horizontal="center" vertical="center"/>
    </xf>
    <xf numFmtId="167" fontId="33" fillId="8" borderId="25" xfId="1" applyNumberFormat="1" applyFont="1" applyFill="1" applyBorder="1" applyAlignment="1">
      <alignment horizontal="center" vertical="center"/>
    </xf>
    <xf numFmtId="0" fontId="27" fillId="8" borderId="25" xfId="0" applyFont="1" applyFill="1" applyBorder="1" applyAlignment="1">
      <alignment horizontal="center"/>
    </xf>
    <xf numFmtId="164" fontId="17" fillId="8" borderId="19" xfId="0" applyNumberFormat="1" applyFont="1" applyFill="1" applyBorder="1" applyAlignment="1">
      <alignment horizontal="center" vertical="center"/>
    </xf>
    <xf numFmtId="164" fontId="27" fillId="8" borderId="19" xfId="0" applyNumberFormat="1" applyFont="1" applyFill="1" applyBorder="1" applyAlignment="1">
      <alignment horizontal="left" vertical="center"/>
    </xf>
    <xf numFmtId="0" fontId="0" fillId="0" borderId="72" xfId="0" applyBorder="1" applyAlignment="1">
      <alignment horizontal="center" vertical="center"/>
    </xf>
    <xf numFmtId="42" fontId="0" fillId="0" borderId="72" xfId="0" applyNumberFormat="1" applyBorder="1"/>
    <xf numFmtId="0" fontId="0" fillId="0" borderId="73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42" fontId="0" fillId="0" borderId="76" xfId="0" applyNumberFormat="1" applyBorder="1"/>
    <xf numFmtId="42" fontId="0" fillId="0" borderId="74" xfId="0" applyNumberFormat="1" applyBorder="1" applyAlignment="1">
      <alignment horizontal="center" vertical="center"/>
    </xf>
    <xf numFmtId="0" fontId="32" fillId="0" borderId="73" xfId="0" applyFont="1" applyBorder="1" applyAlignment="1">
      <alignment horizontal="center" vertical="center"/>
    </xf>
    <xf numFmtId="0" fontId="32" fillId="0" borderId="75" xfId="0" applyFont="1" applyBorder="1" applyAlignment="1">
      <alignment horizontal="center" vertical="center"/>
    </xf>
    <xf numFmtId="42" fontId="0" fillId="0" borderId="78" xfId="0" applyNumberFormat="1" applyBorder="1" applyAlignment="1">
      <alignment vertical="center"/>
    </xf>
    <xf numFmtId="0" fontId="32" fillId="0" borderId="79" xfId="0" applyFont="1" applyBorder="1" applyAlignment="1">
      <alignment horizontal="center" vertical="center"/>
    </xf>
    <xf numFmtId="42" fontId="0" fillId="0" borderId="80" xfId="0" applyNumberFormat="1" applyBorder="1" applyAlignment="1">
      <alignment horizontal="center" vertical="center"/>
    </xf>
    <xf numFmtId="0" fontId="32" fillId="0" borderId="77" xfId="0" applyFont="1" applyBorder="1" applyAlignment="1">
      <alignment horizontal="center" vertical="center"/>
    </xf>
    <xf numFmtId="0" fontId="30" fillId="0" borderId="77" xfId="0" applyFont="1" applyBorder="1" applyAlignment="1">
      <alignment horizontal="center" vertical="center"/>
    </xf>
    <xf numFmtId="0" fontId="32" fillId="0" borderId="82" xfId="0" applyFont="1" applyBorder="1" applyAlignment="1">
      <alignment horizontal="center" vertical="center"/>
    </xf>
    <xf numFmtId="42" fontId="0" fillId="8" borderId="83" xfId="0" applyNumberFormat="1" applyFill="1" applyBorder="1" applyAlignment="1">
      <alignment horizontal="center"/>
    </xf>
    <xf numFmtId="0" fontId="0" fillId="0" borderId="72" xfId="0" applyBorder="1"/>
    <xf numFmtId="169" fontId="0" fillId="0" borderId="72" xfId="0" applyNumberFormat="1" applyBorder="1" applyAlignment="1">
      <alignment horizontal="center" vertical="center"/>
    </xf>
    <xf numFmtId="0" fontId="0" fillId="0" borderId="84" xfId="0" applyBorder="1"/>
    <xf numFmtId="173" fontId="0" fillId="0" borderId="72" xfId="0" applyNumberFormat="1" applyBorder="1" applyAlignment="1">
      <alignment horizontal="center" vertical="center"/>
    </xf>
    <xf numFmtId="173" fontId="0" fillId="0" borderId="72" xfId="0" applyNumberFormat="1" applyBorder="1" applyAlignment="1">
      <alignment horizontal="center"/>
    </xf>
    <xf numFmtId="173" fontId="0" fillId="0" borderId="84" xfId="0" applyNumberFormat="1" applyBorder="1" applyAlignment="1">
      <alignment horizontal="center"/>
    </xf>
    <xf numFmtId="0" fontId="0" fillId="0" borderId="79" xfId="0" applyBorder="1" applyAlignment="1">
      <alignment horizontal="center" vertical="center"/>
    </xf>
    <xf numFmtId="173" fontId="0" fillId="0" borderId="88" xfId="0" applyNumberFormat="1" applyBorder="1" applyAlignment="1">
      <alignment horizontal="center"/>
    </xf>
    <xf numFmtId="0" fontId="0" fillId="0" borderId="88" xfId="0" applyBorder="1"/>
    <xf numFmtId="42" fontId="0" fillId="0" borderId="88" xfId="0" applyNumberFormat="1" applyBorder="1"/>
    <xf numFmtId="42" fontId="0" fillId="0" borderId="84" xfId="0" applyNumberFormat="1" applyBorder="1"/>
    <xf numFmtId="42" fontId="0" fillId="0" borderId="80" xfId="0" applyNumberFormat="1" applyBorder="1"/>
    <xf numFmtId="42" fontId="0" fillId="0" borderId="74" xfId="0" applyNumberFormat="1" applyBorder="1"/>
    <xf numFmtId="42" fontId="0" fillId="0" borderId="72" xfId="0" applyNumberFormat="1" applyBorder="1" applyAlignment="1">
      <alignment horizontal="center" vertical="center"/>
    </xf>
    <xf numFmtId="42" fontId="0" fillId="0" borderId="84" xfId="0" applyNumberFormat="1" applyBorder="1" applyAlignment="1">
      <alignment horizontal="center" vertical="center"/>
    </xf>
    <xf numFmtId="174" fontId="0" fillId="9" borderId="81" xfId="0" applyNumberFormat="1" applyFill="1" applyBorder="1"/>
    <xf numFmtId="0" fontId="24" fillId="7" borderId="85" xfId="0" applyFont="1" applyFill="1" applyBorder="1" applyAlignment="1">
      <alignment horizontal="center" vertical="center" wrapText="1"/>
    </xf>
    <xf numFmtId="0" fontId="35" fillId="7" borderId="86" xfId="0" applyFont="1" applyFill="1" applyBorder="1" applyAlignment="1">
      <alignment horizontal="center" vertical="center" wrapText="1"/>
    </xf>
    <xf numFmtId="0" fontId="35" fillId="9" borderId="86" xfId="0" applyFont="1" applyFill="1" applyBorder="1" applyAlignment="1">
      <alignment horizontal="center" vertical="center" wrapText="1"/>
    </xf>
    <xf numFmtId="0" fontId="35" fillId="7" borderId="87" xfId="0" applyFont="1" applyFill="1" applyBorder="1" applyAlignment="1">
      <alignment horizontal="center" vertical="center" wrapText="1"/>
    </xf>
    <xf numFmtId="0" fontId="20" fillId="0" borderId="88" xfId="1" applyBorder="1"/>
    <xf numFmtId="0" fontId="20" fillId="0" borderId="88" xfId="1" applyBorder="1" applyAlignment="1">
      <alignment horizontal="center"/>
    </xf>
    <xf numFmtId="174" fontId="20" fillId="0" borderId="72" xfId="1" applyNumberFormat="1" applyBorder="1"/>
    <xf numFmtId="0" fontId="0" fillId="0" borderId="72" xfId="0" applyBorder="1" applyAlignment="1">
      <alignment horizontal="left"/>
    </xf>
    <xf numFmtId="174" fontId="0" fillId="0" borderId="72" xfId="0" applyNumberFormat="1" applyBorder="1"/>
    <xf numFmtId="0" fontId="20" fillId="0" borderId="72" xfId="1" applyBorder="1" applyAlignment="1">
      <alignment horizontal="center"/>
    </xf>
    <xf numFmtId="0" fontId="20" fillId="0" borderId="72" xfId="1" applyBorder="1"/>
    <xf numFmtId="6" fontId="20" fillId="0" borderId="72" xfId="1" applyNumberFormat="1" applyBorder="1"/>
    <xf numFmtId="8" fontId="20" fillId="0" borderId="72" xfId="1" applyNumberFormat="1" applyBorder="1"/>
    <xf numFmtId="0" fontId="20" fillId="0" borderId="72" xfId="1" applyBorder="1" applyAlignment="1">
      <alignment horizontal="center" vertical="center"/>
    </xf>
    <xf numFmtId="173" fontId="37" fillId="9" borderId="72" xfId="0" applyNumberFormat="1" applyFont="1" applyFill="1" applyBorder="1" applyAlignment="1">
      <alignment horizontal="center" vertical="center"/>
    </xf>
    <xf numFmtId="169" fontId="37" fillId="9" borderId="72" xfId="0" applyNumberFormat="1" applyFont="1" applyFill="1" applyBorder="1" applyAlignment="1">
      <alignment horizontal="center" vertical="center"/>
    </xf>
    <xf numFmtId="0" fontId="37" fillId="9" borderId="72" xfId="0" applyFont="1" applyFill="1" applyBorder="1"/>
    <xf numFmtId="42" fontId="37" fillId="9" borderId="72" xfId="0" applyNumberFormat="1" applyFont="1" applyFill="1" applyBorder="1" applyAlignment="1">
      <alignment horizontal="center" vertical="center"/>
    </xf>
    <xf numFmtId="42" fontId="0" fillId="0" borderId="89" xfId="0" applyNumberFormat="1" applyBorder="1"/>
    <xf numFmtId="42" fontId="0" fillId="0" borderId="90" xfId="0" applyNumberFormat="1" applyBorder="1"/>
    <xf numFmtId="42" fontId="0" fillId="0" borderId="90" xfId="0" applyNumberFormat="1" applyBorder="1" applyAlignment="1">
      <alignment horizontal="center" vertical="center"/>
    </xf>
    <xf numFmtId="42" fontId="37" fillId="9" borderId="90" xfId="0" applyNumberFormat="1" applyFont="1" applyFill="1" applyBorder="1" applyAlignment="1">
      <alignment horizontal="center" vertical="center"/>
    </xf>
    <xf numFmtId="42" fontId="0" fillId="0" borderId="91" xfId="0" applyNumberFormat="1" applyBorder="1"/>
    <xf numFmtId="0" fontId="35" fillId="7" borderId="92" xfId="0" applyFont="1" applyFill="1" applyBorder="1" applyAlignment="1">
      <alignment horizontal="center" vertical="center" wrapText="1"/>
    </xf>
    <xf numFmtId="0" fontId="0" fillId="0" borderId="93" xfId="0" applyBorder="1"/>
    <xf numFmtId="0" fontId="0" fillId="0" borderId="94" xfId="0" applyBorder="1"/>
    <xf numFmtId="0" fontId="0" fillId="0" borderId="94" xfId="0" applyBorder="1" applyAlignment="1">
      <alignment horizontal="center" vertical="center"/>
    </xf>
    <xf numFmtId="0" fontId="0" fillId="0" borderId="95" xfId="0" applyBorder="1"/>
    <xf numFmtId="0" fontId="32" fillId="0" borderId="94" xfId="0" applyFont="1" applyBorder="1" applyAlignment="1">
      <alignment horizontal="center" vertical="center"/>
    </xf>
    <xf numFmtId="174" fontId="0" fillId="0" borderId="72" xfId="0" applyNumberFormat="1" applyBorder="1" applyAlignment="1">
      <alignment horizontal="center" vertical="center"/>
    </xf>
    <xf numFmtId="174" fontId="0" fillId="0" borderId="0" xfId="0" applyNumberFormat="1"/>
    <xf numFmtId="44" fontId="0" fillId="0" borderId="0" xfId="0" applyNumberFormat="1"/>
    <xf numFmtId="169" fontId="20" fillId="0" borderId="72" xfId="1" applyNumberFormat="1" applyBorder="1" applyAlignment="1">
      <alignment horizontal="center" vertical="center"/>
    </xf>
    <xf numFmtId="8" fontId="20" fillId="0" borderId="72" xfId="1" applyNumberFormat="1" applyBorder="1" applyAlignment="1">
      <alignment horizontal="center" vertical="center"/>
    </xf>
    <xf numFmtId="8" fontId="20" fillId="9" borderId="72" xfId="1" applyNumberFormat="1" applyFill="1" applyBorder="1"/>
    <xf numFmtId="0" fontId="0" fillId="0" borderId="72" xfId="0" applyBorder="1" applyAlignment="1">
      <alignment horizontal="center"/>
    </xf>
    <xf numFmtId="0" fontId="1" fillId="0" borderId="0" xfId="0" applyFont="1"/>
    <xf numFmtId="175" fontId="20" fillId="0" borderId="72" xfId="1" applyNumberFormat="1" applyBorder="1"/>
    <xf numFmtId="166" fontId="7" fillId="4" borderId="70" xfId="0" applyNumberFormat="1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left"/>
    </xf>
    <xf numFmtId="1" fontId="7" fillId="4" borderId="45" xfId="0" applyNumberFormat="1" applyFont="1" applyFill="1" applyBorder="1" applyAlignment="1">
      <alignment horizontal="center"/>
    </xf>
    <xf numFmtId="0" fontId="22" fillId="4" borderId="36" xfId="0" applyFont="1" applyFill="1" applyBorder="1" applyAlignment="1">
      <alignment horizontal="center"/>
    </xf>
    <xf numFmtId="166" fontId="7" fillId="10" borderId="51" xfId="0" applyNumberFormat="1" applyFont="1" applyFill="1" applyBorder="1" applyAlignment="1">
      <alignment horizontal="center" vertical="center"/>
    </xf>
    <xf numFmtId="166" fontId="7" fillId="10" borderId="52" xfId="0" applyNumberFormat="1" applyFont="1" applyFill="1" applyBorder="1" applyAlignment="1">
      <alignment horizontal="center" vertical="center"/>
    </xf>
    <xf numFmtId="0" fontId="7" fillId="10" borderId="53" xfId="0" applyFont="1" applyFill="1" applyBorder="1" applyAlignment="1">
      <alignment horizontal="left" vertical="center"/>
    </xf>
    <xf numFmtId="0" fontId="7" fillId="10" borderId="54" xfId="0" applyFont="1" applyFill="1" applyBorder="1" applyAlignment="1">
      <alignment horizontal="left"/>
    </xf>
    <xf numFmtId="1" fontId="7" fillId="10" borderId="54" xfId="0" applyNumberFormat="1" applyFont="1" applyFill="1" applyBorder="1" applyAlignment="1">
      <alignment horizontal="center"/>
    </xf>
    <xf numFmtId="0" fontId="7" fillId="10" borderId="54" xfId="0" applyFont="1" applyFill="1" applyBorder="1" applyAlignment="1">
      <alignment horizontal="center"/>
    </xf>
    <xf numFmtId="166" fontId="7" fillId="10" borderId="24" xfId="0" applyNumberFormat="1" applyFont="1" applyFill="1" applyBorder="1" applyAlignment="1">
      <alignment horizontal="center" vertical="center"/>
    </xf>
    <xf numFmtId="166" fontId="7" fillId="10" borderId="31" xfId="0" applyNumberFormat="1" applyFont="1" applyFill="1" applyBorder="1" applyAlignment="1">
      <alignment horizontal="center" vertical="center"/>
    </xf>
    <xf numFmtId="0" fontId="7" fillId="10" borderId="22" xfId="0" applyFont="1" applyFill="1" applyBorder="1" applyAlignment="1">
      <alignment horizontal="left" vertical="center"/>
    </xf>
    <xf numFmtId="0" fontId="7" fillId="10" borderId="25" xfId="0" applyFont="1" applyFill="1" applyBorder="1" applyAlignment="1">
      <alignment horizontal="left"/>
    </xf>
    <xf numFmtId="1" fontId="7" fillId="10" borderId="25" xfId="0" applyNumberFormat="1" applyFont="1" applyFill="1" applyBorder="1" applyAlignment="1">
      <alignment horizontal="center"/>
    </xf>
    <xf numFmtId="0" fontId="7" fillId="10" borderId="25" xfId="0" applyFont="1" applyFill="1" applyBorder="1" applyAlignment="1">
      <alignment horizontal="center"/>
    </xf>
    <xf numFmtId="166" fontId="7" fillId="10" borderId="56" xfId="0" applyNumberFormat="1" applyFont="1" applyFill="1" applyBorder="1" applyAlignment="1">
      <alignment horizontal="center" vertical="center"/>
    </xf>
    <xf numFmtId="166" fontId="7" fillId="10" borderId="57" xfId="0" applyNumberFormat="1" applyFont="1" applyFill="1" applyBorder="1" applyAlignment="1">
      <alignment horizontal="center" vertical="center"/>
    </xf>
    <xf numFmtId="0" fontId="7" fillId="10" borderId="58" xfId="0" applyFont="1" applyFill="1" applyBorder="1" applyAlignment="1">
      <alignment horizontal="left" vertical="center"/>
    </xf>
    <xf numFmtId="0" fontId="7" fillId="10" borderId="59" xfId="0" applyFont="1" applyFill="1" applyBorder="1" applyAlignment="1">
      <alignment horizontal="left"/>
    </xf>
    <xf numFmtId="1" fontId="7" fillId="10" borderId="59" xfId="0" applyNumberFormat="1" applyFont="1" applyFill="1" applyBorder="1" applyAlignment="1">
      <alignment horizontal="center"/>
    </xf>
    <xf numFmtId="0" fontId="7" fillId="10" borderId="59" xfId="0" applyFont="1" applyFill="1" applyBorder="1" applyAlignment="1">
      <alignment horizontal="center"/>
    </xf>
    <xf numFmtId="166" fontId="7" fillId="0" borderId="72" xfId="0" applyNumberFormat="1" applyFont="1" applyBorder="1" applyAlignment="1">
      <alignment horizontal="center" vertical="center"/>
    </xf>
    <xf numFmtId="166" fontId="16" fillId="4" borderId="72" xfId="0" applyNumberFormat="1" applyFont="1" applyFill="1" applyBorder="1" applyAlignment="1">
      <alignment horizontal="center" vertical="center"/>
    </xf>
    <xf numFmtId="0" fontId="16" fillId="4" borderId="72" xfId="0" applyFont="1" applyFill="1" applyBorder="1" applyAlignment="1">
      <alignment horizontal="left" vertical="center"/>
    </xf>
    <xf numFmtId="0" fontId="7" fillId="4" borderId="72" xfId="0" applyFont="1" applyFill="1" applyBorder="1" applyAlignment="1">
      <alignment horizontal="left"/>
    </xf>
    <xf numFmtId="0" fontId="7" fillId="4" borderId="72" xfId="0" applyFont="1" applyFill="1" applyBorder="1" applyAlignment="1">
      <alignment horizontal="center"/>
    </xf>
    <xf numFmtId="0" fontId="16" fillId="4" borderId="72" xfId="0" applyFont="1" applyFill="1" applyBorder="1" applyAlignment="1">
      <alignment horizontal="center"/>
    </xf>
    <xf numFmtId="0" fontId="16" fillId="4" borderId="72" xfId="0" applyFont="1" applyFill="1" applyBorder="1" applyAlignment="1">
      <alignment horizontal="left"/>
    </xf>
    <xf numFmtId="166" fontId="7" fillId="4" borderId="72" xfId="0" applyNumberFormat="1" applyFont="1" applyFill="1" applyBorder="1" applyAlignment="1">
      <alignment horizontal="center" vertical="center"/>
    </xf>
    <xf numFmtId="0" fontId="7" fillId="4" borderId="72" xfId="0" applyFont="1" applyFill="1" applyBorder="1" applyAlignment="1">
      <alignment horizontal="left" vertical="center"/>
    </xf>
    <xf numFmtId="166" fontId="16" fillId="4" borderId="64" xfId="0" applyNumberFormat="1" applyFont="1" applyFill="1" applyBorder="1" applyAlignment="1">
      <alignment horizontal="center" vertical="center"/>
    </xf>
    <xf numFmtId="0" fontId="16" fillId="4" borderId="65" xfId="0" applyFont="1" applyFill="1" applyBorder="1" applyAlignment="1">
      <alignment horizontal="left" vertical="center"/>
    </xf>
    <xf numFmtId="0" fontId="16" fillId="4" borderId="26" xfId="0" applyFont="1" applyFill="1" applyBorder="1" applyAlignment="1">
      <alignment horizontal="left"/>
    </xf>
    <xf numFmtId="0" fontId="7" fillId="0" borderId="96" xfId="0" applyFont="1" applyBorder="1" applyAlignment="1">
      <alignment horizontal="center" vertical="center"/>
    </xf>
    <xf numFmtId="166" fontId="7" fillId="0" borderId="97" xfId="0" applyNumberFormat="1" applyFont="1" applyBorder="1" applyAlignment="1">
      <alignment horizontal="center" vertical="center"/>
    </xf>
    <xf numFmtId="166" fontId="16" fillId="4" borderId="97" xfId="0" applyNumberFormat="1" applyFont="1" applyFill="1" applyBorder="1" applyAlignment="1">
      <alignment horizontal="center" vertical="center"/>
    </xf>
    <xf numFmtId="0" fontId="16" fillId="4" borderId="97" xfId="0" applyFont="1" applyFill="1" applyBorder="1" applyAlignment="1">
      <alignment horizontal="left" vertical="center"/>
    </xf>
    <xf numFmtId="0" fontId="7" fillId="4" borderId="97" xfId="0" applyFont="1" applyFill="1" applyBorder="1" applyAlignment="1">
      <alignment horizontal="left"/>
    </xf>
    <xf numFmtId="0" fontId="7" fillId="4" borderId="97" xfId="0" applyFont="1" applyFill="1" applyBorder="1" applyAlignment="1">
      <alignment horizontal="center"/>
    </xf>
    <xf numFmtId="0" fontId="16" fillId="4" borderId="97" xfId="0" applyFont="1" applyFill="1" applyBorder="1" applyAlignment="1">
      <alignment horizontal="center"/>
    </xf>
    <xf numFmtId="0" fontId="7" fillId="0" borderId="73" xfId="0" applyFont="1" applyBorder="1" applyAlignment="1">
      <alignment horizontal="center" vertical="center"/>
    </xf>
    <xf numFmtId="0" fontId="16" fillId="10" borderId="72" xfId="0" applyFont="1" applyFill="1" applyBorder="1" applyAlignment="1">
      <alignment horizontal="center"/>
    </xf>
    <xf numFmtId="1" fontId="7" fillId="10" borderId="72" xfId="0" applyNumberFormat="1" applyFont="1" applyFill="1" applyBorder="1" applyAlignment="1">
      <alignment horizontal="center"/>
    </xf>
    <xf numFmtId="1" fontId="7" fillId="10" borderId="97" xfId="0" applyNumberFormat="1" applyFont="1" applyFill="1" applyBorder="1" applyAlignment="1">
      <alignment horizontal="center"/>
    </xf>
    <xf numFmtId="1" fontId="7" fillId="10" borderId="28" xfId="0" applyNumberFormat="1" applyFont="1" applyFill="1" applyBorder="1" applyAlignment="1">
      <alignment horizontal="center"/>
    </xf>
    <xf numFmtId="0" fontId="16" fillId="10" borderId="25" xfId="0" applyFont="1" applyFill="1" applyBorder="1" applyAlignment="1">
      <alignment horizontal="center"/>
    </xf>
    <xf numFmtId="0" fontId="16" fillId="10" borderId="36" xfId="0" applyFont="1" applyFill="1" applyBorder="1" applyAlignment="1">
      <alignment horizontal="center"/>
    </xf>
    <xf numFmtId="1" fontId="7" fillId="4" borderId="72" xfId="0" applyNumberFormat="1" applyFont="1" applyFill="1" applyBorder="1" applyAlignment="1">
      <alignment horizontal="center"/>
    </xf>
    <xf numFmtId="0" fontId="16" fillId="4" borderId="72" xfId="0" applyFont="1" applyFill="1" applyBorder="1" applyAlignment="1">
      <alignment horizontal="center" vertical="center"/>
    </xf>
    <xf numFmtId="166" fontId="16" fillId="0" borderId="72" xfId="0" applyNumberFormat="1" applyFont="1" applyBorder="1" applyAlignment="1">
      <alignment horizontal="center" vertical="center"/>
    </xf>
    <xf numFmtId="0" fontId="7" fillId="0" borderId="98" xfId="0" applyFont="1" applyBorder="1" applyAlignment="1">
      <alignment horizontal="center" vertical="center"/>
    </xf>
    <xf numFmtId="166" fontId="16" fillId="4" borderId="99" xfId="0" applyNumberFormat="1" applyFont="1" applyFill="1" applyBorder="1" applyAlignment="1">
      <alignment horizontal="center" vertical="center"/>
    </xf>
    <xf numFmtId="0" fontId="16" fillId="4" borderId="99" xfId="0" applyFont="1" applyFill="1" applyBorder="1" applyAlignment="1">
      <alignment horizontal="left" vertical="center"/>
    </xf>
    <xf numFmtId="0" fontId="16" fillId="4" borderId="99" xfId="0" applyFont="1" applyFill="1" applyBorder="1" applyAlignment="1">
      <alignment horizontal="left"/>
    </xf>
    <xf numFmtId="0" fontId="16" fillId="10" borderId="99" xfId="0" applyFont="1" applyFill="1" applyBorder="1" applyAlignment="1">
      <alignment horizontal="center"/>
    </xf>
    <xf numFmtId="0" fontId="16" fillId="4" borderId="99" xfId="0" applyFont="1" applyFill="1" applyBorder="1" applyAlignment="1">
      <alignment horizontal="center"/>
    </xf>
    <xf numFmtId="0" fontId="16" fillId="0" borderId="73" xfId="0" applyFont="1" applyBorder="1" applyAlignment="1">
      <alignment horizontal="center" vertical="center"/>
    </xf>
    <xf numFmtId="0" fontId="0" fillId="0" borderId="73" xfId="0" applyBorder="1"/>
    <xf numFmtId="0" fontId="0" fillId="0" borderId="75" xfId="0" applyBorder="1"/>
    <xf numFmtId="0" fontId="16" fillId="4" borderId="97" xfId="0" applyFont="1" applyFill="1" applyBorder="1" applyAlignment="1">
      <alignment horizontal="left"/>
    </xf>
    <xf numFmtId="166" fontId="16" fillId="4" borderId="84" xfId="0" applyNumberFormat="1" applyFont="1" applyFill="1" applyBorder="1" applyAlignment="1">
      <alignment horizontal="center" vertical="center"/>
    </xf>
    <xf numFmtId="0" fontId="16" fillId="4" borderId="84" xfId="0" applyFont="1" applyFill="1" applyBorder="1" applyAlignment="1">
      <alignment horizontal="left" vertical="center"/>
    </xf>
    <xf numFmtId="0" fontId="16" fillId="4" borderId="84" xfId="0" applyFont="1" applyFill="1" applyBorder="1" applyAlignment="1">
      <alignment horizontal="left"/>
    </xf>
    <xf numFmtId="0" fontId="16" fillId="4" borderId="84" xfId="0" applyFont="1" applyFill="1" applyBorder="1" applyAlignment="1">
      <alignment horizontal="center"/>
    </xf>
    <xf numFmtId="166" fontId="7" fillId="0" borderId="99" xfId="0" applyNumberFormat="1" applyFont="1" applyBorder="1" applyAlignment="1">
      <alignment horizontal="center" vertical="center"/>
    </xf>
    <xf numFmtId="166" fontId="7" fillId="0" borderId="88" xfId="0" applyNumberFormat="1" applyFont="1" applyBorder="1" applyAlignment="1">
      <alignment horizontal="center" vertical="center"/>
    </xf>
    <xf numFmtId="166" fontId="7" fillId="4" borderId="88" xfId="0" applyNumberFormat="1" applyFont="1" applyFill="1" applyBorder="1" applyAlignment="1">
      <alignment horizontal="center" vertical="center"/>
    </xf>
    <xf numFmtId="0" fontId="7" fillId="4" borderId="88" xfId="0" applyFont="1" applyFill="1" applyBorder="1" applyAlignment="1">
      <alignment horizontal="left" vertical="center"/>
    </xf>
    <xf numFmtId="0" fontId="7" fillId="4" borderId="88" xfId="0" applyFont="1" applyFill="1" applyBorder="1" applyAlignment="1">
      <alignment horizontal="left"/>
    </xf>
    <xf numFmtId="1" fontId="7" fillId="4" borderId="88" xfId="0" applyNumberFormat="1" applyFont="1" applyFill="1" applyBorder="1" applyAlignment="1">
      <alignment horizontal="center"/>
    </xf>
    <xf numFmtId="0" fontId="7" fillId="4" borderId="88" xfId="0" applyFont="1" applyFill="1" applyBorder="1" applyAlignment="1">
      <alignment horizontal="center"/>
    </xf>
    <xf numFmtId="0" fontId="16" fillId="4" borderId="88" xfId="0" applyFont="1" applyFill="1" applyBorder="1" applyAlignment="1">
      <alignment horizontal="center"/>
    </xf>
    <xf numFmtId="0" fontId="16" fillId="4" borderId="97" xfId="0" applyFont="1" applyFill="1" applyBorder="1" applyAlignment="1">
      <alignment horizontal="center" vertical="center"/>
    </xf>
    <xf numFmtId="166" fontId="7" fillId="0" borderId="73" xfId="0" applyNumberFormat="1" applyFont="1" applyBorder="1" applyAlignment="1">
      <alignment horizontal="center" vertical="center"/>
    </xf>
    <xf numFmtId="166" fontId="16" fillId="0" borderId="73" xfId="0" applyNumberFormat="1" applyFont="1" applyBorder="1" applyAlignment="1">
      <alignment horizontal="center" vertical="center"/>
    </xf>
    <xf numFmtId="0" fontId="7" fillId="0" borderId="100" xfId="0" applyFont="1" applyBorder="1" applyAlignment="1">
      <alignment horizontal="center" vertical="center"/>
    </xf>
    <xf numFmtId="0" fontId="16" fillId="0" borderId="79" xfId="0" applyFont="1" applyBorder="1" applyAlignment="1">
      <alignment horizontal="center" vertical="center"/>
    </xf>
    <xf numFmtId="166" fontId="16" fillId="0" borderId="88" xfId="0" applyNumberFormat="1" applyFont="1" applyBorder="1" applyAlignment="1">
      <alignment horizontal="center" vertical="center"/>
    </xf>
    <xf numFmtId="166" fontId="16" fillId="4" borderId="88" xfId="0" applyNumberFormat="1" applyFont="1" applyFill="1" applyBorder="1" applyAlignment="1">
      <alignment horizontal="center" vertical="center"/>
    </xf>
    <xf numFmtId="0" fontId="16" fillId="4" borderId="88" xfId="0" applyFont="1" applyFill="1" applyBorder="1" applyAlignment="1">
      <alignment horizontal="left" vertical="center"/>
    </xf>
    <xf numFmtId="0" fontId="7" fillId="0" borderId="101" xfId="0" applyFont="1" applyBorder="1" applyAlignment="1">
      <alignment horizontal="center" vertical="center"/>
    </xf>
    <xf numFmtId="166" fontId="16" fillId="0" borderId="97" xfId="0" applyNumberFormat="1" applyFont="1" applyBorder="1" applyAlignment="1">
      <alignment horizontal="center" vertical="center"/>
    </xf>
    <xf numFmtId="0" fontId="16" fillId="0" borderId="75" xfId="0" applyFont="1" applyBorder="1" applyAlignment="1">
      <alignment horizontal="center" vertical="center"/>
    </xf>
    <xf numFmtId="166" fontId="16" fillId="0" borderId="84" xfId="0" applyNumberFormat="1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/>
    </xf>
    <xf numFmtId="166" fontId="16" fillId="0" borderId="98" xfId="0" applyNumberFormat="1" applyFont="1" applyBorder="1" applyAlignment="1">
      <alignment horizontal="center" vertical="center"/>
    </xf>
    <xf numFmtId="1" fontId="7" fillId="10" borderId="99" xfId="0" applyNumberFormat="1" applyFont="1" applyFill="1" applyBorder="1" applyAlignment="1">
      <alignment horizontal="center"/>
    </xf>
    <xf numFmtId="0" fontId="16" fillId="4" borderId="72" xfId="0" quotePrefix="1" applyFont="1" applyFill="1" applyBorder="1" applyAlignment="1">
      <alignment horizontal="center"/>
    </xf>
    <xf numFmtId="164" fontId="27" fillId="8" borderId="47" xfId="0" applyNumberFormat="1" applyFont="1" applyFill="1" applyBorder="1" applyAlignment="1">
      <alignment horizontal="center" vertical="center"/>
    </xf>
    <xf numFmtId="164" fontId="27" fillId="8" borderId="48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/>
    <xf numFmtId="0" fontId="5" fillId="0" borderId="9" xfId="0" applyFont="1" applyBorder="1" applyAlignment="1"/>
    <xf numFmtId="0" fontId="5" fillId="0" borderId="10" xfId="0" applyFont="1" applyBorder="1" applyAlignment="1"/>
    <xf numFmtId="0" fontId="5" fillId="0" borderId="11" xfId="0" applyFont="1" applyBorder="1" applyAlignment="1"/>
    <xf numFmtId="0" fontId="5" fillId="0" borderId="12" xfId="0" applyFont="1" applyBorder="1" applyAlignment="1"/>
    <xf numFmtId="0" fontId="6" fillId="3" borderId="13" xfId="0" applyFont="1" applyFill="1" applyBorder="1" applyAlignment="1">
      <alignment horizontal="center"/>
    </xf>
    <xf numFmtId="0" fontId="5" fillId="0" borderId="14" xfId="0" applyFont="1" applyBorder="1" applyAlignment="1"/>
    <xf numFmtId="0" fontId="4" fillId="2" borderId="15" xfId="0" applyFont="1" applyFill="1" applyBorder="1" applyAlignment="1">
      <alignment horizontal="center" vertical="center"/>
    </xf>
    <xf numFmtId="0" fontId="5" fillId="0" borderId="16" xfId="0" applyFont="1" applyBorder="1" applyAlignment="1"/>
    <xf numFmtId="0" fontId="5" fillId="0" borderId="17" xfId="0" applyFont="1" applyBorder="1" applyAlignment="1"/>
    <xf numFmtId="0" fontId="9" fillId="3" borderId="13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 wrapText="1"/>
    </xf>
    <xf numFmtId="0" fontId="14" fillId="7" borderId="15" xfId="0" applyFont="1" applyFill="1" applyBorder="1" applyAlignment="1">
      <alignment horizontal="center" vertical="center"/>
    </xf>
    <xf numFmtId="164" fontId="26" fillId="4" borderId="7" xfId="1" applyNumberFormat="1" applyFont="1" applyFill="1" applyBorder="1" applyAlignment="1">
      <alignment horizontal="center" vertical="center"/>
    </xf>
    <xf numFmtId="164" fontId="26" fillId="4" borderId="66" xfId="1" applyNumberFormat="1" applyFont="1" applyFill="1" applyBorder="1" applyAlignment="1">
      <alignment horizontal="center" vertical="center"/>
    </xf>
    <xf numFmtId="164" fontId="26" fillId="4" borderId="10" xfId="1" applyNumberFormat="1" applyFont="1" applyFill="1" applyBorder="1" applyAlignment="1">
      <alignment horizontal="center" vertical="center"/>
    </xf>
    <xf numFmtId="164" fontId="27" fillId="8" borderId="46" xfId="0" applyNumberFormat="1" applyFont="1" applyFill="1" applyBorder="1" applyAlignment="1">
      <alignment horizontal="center" vertical="center"/>
    </xf>
    <xf numFmtId="164" fontId="27" fillId="8" borderId="47" xfId="0" applyNumberFormat="1" applyFont="1" applyFill="1" applyBorder="1" applyAlignment="1">
      <alignment horizontal="center" vertical="center"/>
    </xf>
    <xf numFmtId="164" fontId="27" fillId="8" borderId="48" xfId="0" applyNumberFormat="1" applyFont="1" applyFill="1" applyBorder="1" applyAlignment="1">
      <alignment horizontal="center" vertical="center"/>
    </xf>
    <xf numFmtId="0" fontId="36" fillId="9" borderId="15" xfId="0" applyFont="1" applyFill="1" applyBorder="1" applyAlignment="1">
      <alignment horizontal="center" vertical="center"/>
    </xf>
    <xf numFmtId="0" fontId="36" fillId="9" borderId="17" xfId="0" applyFont="1" applyFill="1" applyBorder="1" applyAlignment="1">
      <alignment horizontal="center" vertical="center"/>
    </xf>
  </cellXfs>
  <cellStyles count="4">
    <cellStyle name="Hyperlink" xfId="1" builtinId="8"/>
    <cellStyle name="Hyperlink 2" xfId="3" xr:uid="{00000000-0005-0000-0000-000001000000}"/>
    <cellStyle name="Normal" xfId="0" builtinId="0"/>
    <cellStyle name="Normal 2" xfId="2" xr:uid="{00000000-0005-0000-0000-000003000000}"/>
  </cellStyles>
  <dxfs count="136"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ill>
        <patternFill patternType="solid">
          <fgColor rgb="FF2CD0B2"/>
          <bgColor rgb="FF2CD0B2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bgColor rgb="FF00B0F0"/>
        </patternFill>
      </fill>
    </dxf>
    <dxf>
      <fill>
        <patternFill patternType="solid">
          <fgColor rgb="FF2CD0B2"/>
          <bgColor rgb="FF2CD0B2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bgColor rgb="FF00B0F0"/>
        </patternFill>
      </fill>
    </dxf>
    <dxf>
      <fill>
        <patternFill patternType="solid">
          <fgColor rgb="FF2CD0B2"/>
          <bgColor rgb="FF2CD0B2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bgColor rgb="FF00B0F0"/>
        </patternFill>
      </fill>
    </dxf>
    <dxf>
      <fill>
        <patternFill patternType="solid">
          <fgColor rgb="FF2CD0B2"/>
          <bgColor rgb="FF2CD0B2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bgColor rgb="FF00B0F0"/>
        </patternFill>
      </fill>
    </dxf>
    <dxf>
      <fill>
        <patternFill patternType="solid">
          <fgColor rgb="FF2CD0B2"/>
          <bgColor rgb="FF2CD0B2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bgColor rgb="FF00B0F0"/>
        </patternFill>
      </fill>
    </dxf>
    <dxf>
      <fill>
        <patternFill patternType="solid">
          <fgColor rgb="FF2CD0B2"/>
          <bgColor rgb="FF2CD0B2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bgColor rgb="FF00B0F0"/>
        </patternFill>
      </fill>
    </dxf>
    <dxf>
      <fill>
        <patternFill patternType="solid">
          <fgColor rgb="FF2CD0B2"/>
          <bgColor rgb="FF2CD0B2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bgColor rgb="FF00B0F0"/>
        </patternFill>
      </fill>
    </dxf>
    <dxf>
      <fill>
        <patternFill patternType="solid">
          <fgColor rgb="FF2CD0B2"/>
          <bgColor rgb="FF2CD0B2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bgColor rgb="FF00B0F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none"/>
      </font>
      <fill>
        <patternFill patternType="solid">
          <fgColor rgb="FF2CD0B2"/>
          <bgColor rgb="FF2CD0B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none"/>
      </font>
      <fill>
        <patternFill patternType="solid">
          <fgColor rgb="FF2CD0B2"/>
          <bgColor rgb="FF2CD0B2"/>
        </patternFill>
      </fill>
      <alignment horizontal="center" vertical="center" textRotation="0" wrapText="1" indent="0" justifyLastLine="0" shrinkToFit="0" readingOrder="0"/>
      <border diagonalUp="0" diagonalDown="0">
        <left/>
        <right style="dotted">
          <color rgb="FF00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solid">
          <fgColor rgb="FF2CD0B2"/>
          <bgColor rgb="FF2CD0B2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rgb="FF000000"/>
        </left>
        <right style="dotted">
          <color rgb="FF00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none"/>
      </font>
      <fill>
        <patternFill patternType="solid">
          <fgColor rgb="FF2CD0B2"/>
          <bgColor rgb="FF2CD0B2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rgb="FF000000"/>
        </left>
        <right style="dotted">
          <color rgb="FF00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none"/>
      </font>
      <fill>
        <patternFill patternType="solid">
          <fgColor rgb="FF2CD0B2"/>
          <bgColor rgb="FF2CD0B2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rgb="FF000000"/>
        </left>
        <right style="dotted">
          <color rgb="FF00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solid">
          <fgColor rgb="FF2CD0B2"/>
          <bgColor rgb="FF2CD0B2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rgb="FF000000"/>
        </left>
        <right style="dotted">
          <color rgb="FF00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solid">
          <fgColor rgb="FF2CD0B2"/>
          <bgColor rgb="FF2CD0B2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rgb="FF000000"/>
        </left>
        <right style="dotted">
          <color rgb="FF00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solid">
          <fgColor rgb="FF2CD0B2"/>
          <bgColor rgb="FF2CD0B2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rgb="FF000000"/>
        </left>
        <right style="dotted">
          <color rgb="FF00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solid">
          <fgColor rgb="FF2CD0B2"/>
          <bgColor rgb="FF2CD0B2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rgb="FF000000"/>
        </left>
        <right style="dotted">
          <color rgb="FF00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solid">
          <fgColor rgb="FF2CD0B2"/>
          <bgColor rgb="FF2CD0B2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rgb="FF000000"/>
        </left>
        <right style="dotted">
          <color rgb="FF00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solid">
          <fgColor rgb="FF2CD0B2"/>
          <bgColor rgb="FF2CD0B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solid">
          <fgColor rgb="FF2CD0B2"/>
          <bgColor rgb="FF2CD0B2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rgb="FF000000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solid">
          <fgColor rgb="FF2CD0B2"/>
          <bgColor rgb="FF2CD0B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none"/>
      </font>
      <fill>
        <patternFill patternType="solid">
          <fgColor rgb="FF2CD0B2"/>
          <bgColor rgb="FF2CD0B2"/>
        </patternFill>
      </fill>
      <alignment horizontal="center" vertical="center" textRotation="0" wrapText="0" indent="0" justifyLastLine="0" shrinkToFit="0" readingOrder="0"/>
    </dxf>
    <dxf>
      <border outline="0">
        <bottom style="dotted">
          <color rgb="FF000000"/>
        </bottom>
      </border>
    </dxf>
    <dxf>
      <border outline="0">
        <left style="dotted">
          <color rgb="FF000000"/>
        </left>
        <right style="dotted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top style="medium">
          <color rgb="FF000000"/>
        </top>
        <bottom style="hair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_(* #,##0_);_(* \(#,##0\);_(* &quot;-&quot;??_);_(@_)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2CD0B2"/>
          <bgColor rgb="FF2CD0B2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bgColor rgb="FF00B0F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2F2F"/>
          <bgColor rgb="FFFF2F2F"/>
        </patternFill>
      </fill>
    </dxf>
  </dxfs>
  <tableStyles count="0" defaultTableStyle="TableStyleMedium2" defaultPivotStyle="PivotStyleLight16"/>
  <colors>
    <mruColors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customschemas.google.com/relationships/workbookmetadata" Target="metadata"/><Relationship Id="rId3" Type="http://schemas.openxmlformats.org/officeDocument/2006/relationships/worksheet" Target="worksheets/sheet3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43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N9:N12" totalsRowShown="0" headerRowDxfId="75" dataDxfId="74" tableBorderDxfId="73">
  <autoFilter ref="N9:N12" xr:uid="{00000000-0009-0000-0100-000002000000}"/>
  <tableColumns count="1">
    <tableColumn id="1" xr3:uid="{00000000-0010-0000-0000-000001000000}" name="Amount Received on Dt:-16/12/2022" dataDxfId="7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N2" insertRow="1" insertRowShift="1" totalsRowShown="0" headerRowBorderDxfId="70" tableBorderDxfId="71">
  <autoFilter ref="A1:N2" xr:uid="{00000000-0009-0000-0100-000003000000}"/>
  <tableColumns count="14">
    <tableColumn id="1" xr3:uid="{00000000-0010-0000-0100-000001000000}" name="Sr. No" dataDxfId="69"/>
    <tableColumn id="2" xr3:uid="{00000000-0010-0000-0100-000002000000}" name="Parcel Receiving _x000a_Date" dataDxfId="68"/>
    <tableColumn id="3" xr3:uid="{00000000-0010-0000-0100-000003000000}" name="Date of Dispatch Parcel" dataDxfId="67"/>
    <tableColumn id="4" xr3:uid="{00000000-0010-0000-0100-000004000000}" name="Client Name" dataDxfId="66"/>
    <tableColumn id="5" xr3:uid="{00000000-0010-0000-0100-000005000000}" name="Parcel Contents" dataDxfId="65"/>
    <tableColumn id="6" xr3:uid="{00000000-0010-0000-0100-000006000000}" name="Shipment MAWB #" dataDxfId="64"/>
    <tableColumn id="7" xr3:uid="{00000000-0010-0000-0100-000007000000}" name="Courier Service" dataDxfId="63"/>
    <tableColumn id="8" xr3:uid="{00000000-0010-0000-0100-000008000000}" name="Client E-mail" dataDxfId="62"/>
    <tableColumn id="9" xr3:uid="{00000000-0010-0000-0100-000009000000}" name="Payment Mode" dataDxfId="61"/>
    <tableColumn id="10" xr3:uid="{00000000-0010-0000-0100-00000A000000}" name="Paid Amount" dataDxfId="60"/>
    <tableColumn id="11" xr3:uid="{00000000-0010-0000-0100-00000B000000}" name="Requested _x000a_Amount" dataDxfId="59"/>
    <tableColumn id="12" xr3:uid="{00000000-0010-0000-0100-00000C000000}" name="Reimbursement Status" dataDxfId="58"/>
    <tableColumn id="13" xr3:uid="{00000000-0010-0000-0100-00000D000000}" name="Invoice Link" dataDxfId="57"/>
    <tableColumn id="14" xr3:uid="{00000000-0010-0000-0100-00000E000000}" name="Remarks" dataDxfId="5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christian.raun@gmail.com" TargetMode="External"/><Relationship Id="rId13" Type="http://schemas.openxmlformats.org/officeDocument/2006/relationships/hyperlink" Target="https://tinyurl.com/2tss6pcz" TargetMode="External"/><Relationship Id="rId18" Type="http://schemas.openxmlformats.org/officeDocument/2006/relationships/hyperlink" Target="mailto:christian.raun@gmail.com" TargetMode="External"/><Relationship Id="rId26" Type="http://schemas.openxmlformats.org/officeDocument/2006/relationships/hyperlink" Target="https://1drv.ms/b/s!Aj8Kg3zL_hoFqyLBfeGd2-lGsQC1?e=5IvYCC" TargetMode="External"/><Relationship Id="rId3" Type="http://schemas.openxmlformats.org/officeDocument/2006/relationships/hyperlink" Target="mailto:christian.raun@gmail.com" TargetMode="External"/><Relationship Id="rId21" Type="http://schemas.openxmlformats.org/officeDocument/2006/relationships/hyperlink" Target="https://1drv.ms/b/s!Aj8Kg3zL_hoFqjJxQLrIb335k-8i?e=WFFeLN" TargetMode="External"/><Relationship Id="rId7" Type="http://schemas.openxmlformats.org/officeDocument/2006/relationships/hyperlink" Target="mailto:christian.raun@gmail.com" TargetMode="External"/><Relationship Id="rId12" Type="http://schemas.openxmlformats.org/officeDocument/2006/relationships/hyperlink" Target="https://1drv.ms/b/s!Aj8Kg3zL_hoFqX-NIcnQvukl-tDR?e=DksM4G" TargetMode="External"/><Relationship Id="rId17" Type="http://schemas.openxmlformats.org/officeDocument/2006/relationships/hyperlink" Target="mailto:steve@hearlabs.com" TargetMode="External"/><Relationship Id="rId25" Type="http://schemas.openxmlformats.org/officeDocument/2006/relationships/hyperlink" Target="https://1drv.ms/b/s!Aj8Kg3zL_hoFqiZ01In87DAXo6BK?e=gJBxdU" TargetMode="External"/><Relationship Id="rId2" Type="http://schemas.openxmlformats.org/officeDocument/2006/relationships/hyperlink" Target="mailto:christian.raun@gmail.com" TargetMode="External"/><Relationship Id="rId16" Type="http://schemas.openxmlformats.org/officeDocument/2006/relationships/hyperlink" Target="https://1drv.ms/b/s!Aj8Kg3zL_hoFqgp6HpFHKbhFlorz?e=elUO14" TargetMode="External"/><Relationship Id="rId20" Type="http://schemas.openxmlformats.org/officeDocument/2006/relationships/hyperlink" Target="https://1drv.ms/b/s!Aj8Kg3zL_hoFqjRgQYzYBt_TEcFn?e=neL37v" TargetMode="External"/><Relationship Id="rId1" Type="http://schemas.openxmlformats.org/officeDocument/2006/relationships/hyperlink" Target="https://1drv.ms/u/s!Aj8Kg3zL_hoFqX4fAwH3HWWOd7yd?e=PsFX8P" TargetMode="External"/><Relationship Id="rId6" Type="http://schemas.openxmlformats.org/officeDocument/2006/relationships/hyperlink" Target="mailto:christian.raun@gmail.com" TargetMode="External"/><Relationship Id="rId11" Type="http://schemas.openxmlformats.org/officeDocument/2006/relationships/hyperlink" Target="https://1drv.ms/b/s!Aj8Kg3zL_hoFqX-NIcnQvukl-tDR?e=DksM4G" TargetMode="External"/><Relationship Id="rId24" Type="http://schemas.openxmlformats.org/officeDocument/2006/relationships/hyperlink" Target="https://1drv.ms/b/s!Aj8Kg3zL_hoFqihUMIzwC4ZcYc7N?e=zZfmKH" TargetMode="External"/><Relationship Id="rId5" Type="http://schemas.openxmlformats.org/officeDocument/2006/relationships/hyperlink" Target="mailto:cbenson@robotshop.com" TargetMode="External"/><Relationship Id="rId15" Type="http://schemas.openxmlformats.org/officeDocument/2006/relationships/hyperlink" Target="https://1drv.ms/b/s!Aj8Kg3zL_hoFqgiM8w0EYlg5aC6W?e=m5NzKQ" TargetMode="External"/><Relationship Id="rId23" Type="http://schemas.openxmlformats.org/officeDocument/2006/relationships/hyperlink" Target="https://1drv.ms/b/s!Aj8Kg3zL_hoFqlIPRL3XMbH0p_EL?e=V1nPL4" TargetMode="External"/><Relationship Id="rId28" Type="http://schemas.openxmlformats.org/officeDocument/2006/relationships/table" Target="../tables/table2.xml"/><Relationship Id="rId10" Type="http://schemas.openxmlformats.org/officeDocument/2006/relationships/hyperlink" Target="https://1drv.ms/b/s!Aj8Kg3zL_hoFqX-NIcnQvukl-tDR?e=DksM4G" TargetMode="External"/><Relationship Id="rId19" Type="http://schemas.openxmlformats.org/officeDocument/2006/relationships/hyperlink" Target="mailto:cbenson@robotshop.com" TargetMode="External"/><Relationship Id="rId4" Type="http://schemas.openxmlformats.org/officeDocument/2006/relationships/hyperlink" Target="mailto:oraibi_bts@hotmail.com" TargetMode="External"/><Relationship Id="rId9" Type="http://schemas.openxmlformats.org/officeDocument/2006/relationships/hyperlink" Target="https://1drv.ms/b/s!Aj8Kg3zL_hoFqX-NIcnQvukl-tDR?e=DksM4G" TargetMode="External"/><Relationship Id="rId14" Type="http://schemas.openxmlformats.org/officeDocument/2006/relationships/hyperlink" Target="mailto:john@stor-guard.com" TargetMode="External"/><Relationship Id="rId22" Type="http://schemas.openxmlformats.org/officeDocument/2006/relationships/hyperlink" Target="mailto:christian.raun@gmail.com" TargetMode="External"/><Relationship Id="rId27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christian.raun@gmail.com" TargetMode="External"/><Relationship Id="rId13" Type="http://schemas.openxmlformats.org/officeDocument/2006/relationships/hyperlink" Target="https://tinyurl.com/2tss6pcz" TargetMode="External"/><Relationship Id="rId18" Type="http://schemas.openxmlformats.org/officeDocument/2006/relationships/hyperlink" Target="mailto:christian.raun@gmail.com" TargetMode="External"/><Relationship Id="rId26" Type="http://schemas.openxmlformats.org/officeDocument/2006/relationships/hyperlink" Target="https://1drv.ms/b/s!Aj8Kg3zL_hoFqyLBfeGd2-lGsQC1?e=5IvYCC" TargetMode="External"/><Relationship Id="rId3" Type="http://schemas.openxmlformats.org/officeDocument/2006/relationships/hyperlink" Target="mailto:christian.raun@gmail.com" TargetMode="External"/><Relationship Id="rId21" Type="http://schemas.openxmlformats.org/officeDocument/2006/relationships/hyperlink" Target="https://1drv.ms/b/s!Aj8Kg3zL_hoFqlIPRL3XMbH0p_EL?e=p75jth" TargetMode="External"/><Relationship Id="rId7" Type="http://schemas.openxmlformats.org/officeDocument/2006/relationships/hyperlink" Target="mailto:christian.raun@gmail.com" TargetMode="External"/><Relationship Id="rId12" Type="http://schemas.openxmlformats.org/officeDocument/2006/relationships/hyperlink" Target="https://1drv.ms/b/s!Aj8Kg3zL_hoFqX-NIcnQvukl-tDR?e=DksM4G" TargetMode="External"/><Relationship Id="rId17" Type="http://schemas.openxmlformats.org/officeDocument/2006/relationships/hyperlink" Target="mailto:steve@hearlabs.com" TargetMode="External"/><Relationship Id="rId25" Type="http://schemas.openxmlformats.org/officeDocument/2006/relationships/hyperlink" Target="https://1drv.ms/b/s!Aj8Kg3zL_hoFqiZ01In87DAXo6BK?e=gJBxdU" TargetMode="External"/><Relationship Id="rId2" Type="http://schemas.openxmlformats.org/officeDocument/2006/relationships/hyperlink" Target="mailto:christian.raun@gmail.com" TargetMode="External"/><Relationship Id="rId16" Type="http://schemas.openxmlformats.org/officeDocument/2006/relationships/hyperlink" Target="https://1drv.ms/b/s!Aj8Kg3zL_hoFqgp6HpFHKbhFlorz?e=elUO14" TargetMode="External"/><Relationship Id="rId20" Type="http://schemas.openxmlformats.org/officeDocument/2006/relationships/hyperlink" Target="https://1drv.ms/b/s!Aj8Kg3zL_hoFqjRgQYzYBt_TEcFn?e=neL37v" TargetMode="External"/><Relationship Id="rId29" Type="http://schemas.openxmlformats.org/officeDocument/2006/relationships/hyperlink" Target="https://1drv.ms/u/s!Aj8Kg3zL_hoFqhdD1rTCGM_QRYGe?e=WukeFp" TargetMode="External"/><Relationship Id="rId1" Type="http://schemas.openxmlformats.org/officeDocument/2006/relationships/hyperlink" Target="https://1drv.ms/u/s!Aj8Kg3zL_hoFqX4fAwH3HWWOd7yd?e=PsFX8P" TargetMode="External"/><Relationship Id="rId6" Type="http://schemas.openxmlformats.org/officeDocument/2006/relationships/hyperlink" Target="mailto:christian.raun@gmail.com" TargetMode="External"/><Relationship Id="rId11" Type="http://schemas.openxmlformats.org/officeDocument/2006/relationships/hyperlink" Target="https://1drv.ms/b/s!Aj8Kg3zL_hoFqX-NIcnQvukl-tDR?e=DksM4G" TargetMode="External"/><Relationship Id="rId24" Type="http://schemas.openxmlformats.org/officeDocument/2006/relationships/hyperlink" Target="https://1drv.ms/b/s!Aj8Kg3zL_hoFqihUMIzwC4ZcYc7N?e=zZfmKH" TargetMode="External"/><Relationship Id="rId5" Type="http://schemas.openxmlformats.org/officeDocument/2006/relationships/hyperlink" Target="mailto:cbenson@robotshop.com" TargetMode="External"/><Relationship Id="rId15" Type="http://schemas.openxmlformats.org/officeDocument/2006/relationships/hyperlink" Target="https://1drv.ms/b/s!Aj8Kg3zL_hoFqgiM8w0EYlg5aC6W?e=m5NzKQ" TargetMode="External"/><Relationship Id="rId23" Type="http://schemas.openxmlformats.org/officeDocument/2006/relationships/hyperlink" Target="https://1drv.ms/b/s!Aj8Kg3zL_hoFqlIPRL3XMbH0p_EL?e=V1nPL4" TargetMode="External"/><Relationship Id="rId28" Type="http://schemas.openxmlformats.org/officeDocument/2006/relationships/hyperlink" Target="https://1drv.ms/b/s!Aj8Kg3zL_hoFqyXCOMYALTH7as8q?e=0WNHIH" TargetMode="External"/><Relationship Id="rId10" Type="http://schemas.openxmlformats.org/officeDocument/2006/relationships/hyperlink" Target="https://1drv.ms/b/s!Aj8Kg3zL_hoFqX-NIcnQvukl-tDR?e=DksM4G" TargetMode="External"/><Relationship Id="rId19" Type="http://schemas.openxmlformats.org/officeDocument/2006/relationships/hyperlink" Target="mailto:cbenson@robotshop.com" TargetMode="External"/><Relationship Id="rId4" Type="http://schemas.openxmlformats.org/officeDocument/2006/relationships/hyperlink" Target="mailto:oraibi_bts@hotmail.com" TargetMode="External"/><Relationship Id="rId9" Type="http://schemas.openxmlformats.org/officeDocument/2006/relationships/hyperlink" Target="https://1drv.ms/b/s!Aj8Kg3zL_hoFqX-NIcnQvukl-tDR?e=DksM4G" TargetMode="External"/><Relationship Id="rId14" Type="http://schemas.openxmlformats.org/officeDocument/2006/relationships/hyperlink" Target="mailto:john@stor-guard.com" TargetMode="External"/><Relationship Id="rId22" Type="http://schemas.openxmlformats.org/officeDocument/2006/relationships/hyperlink" Target="mailto:christian.raun@gmail.com" TargetMode="External"/><Relationship Id="rId27" Type="http://schemas.openxmlformats.org/officeDocument/2006/relationships/hyperlink" Target="https://1drv.ms/u/s!Aj8Kg3zL_hoFqySoTG8gMfiN5s-U?e=EpWBwT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u/s!Aj8Kg3zL_hoFrDS1Zk-poSipBNpB?e=xIp03o" TargetMode="External"/><Relationship Id="rId3" Type="http://schemas.openxmlformats.org/officeDocument/2006/relationships/hyperlink" Target="mailto:john@stor-guard.com" TargetMode="External"/><Relationship Id="rId7" Type="http://schemas.openxmlformats.org/officeDocument/2006/relationships/hyperlink" Target="mailto:john@stor-guard.com" TargetMode="External"/><Relationship Id="rId12" Type="http://schemas.openxmlformats.org/officeDocument/2006/relationships/hyperlink" Target="https://1drv.ms/b/s!Aj8Kg3zL_hoFrghJ82AKvTHhfuzl?e=PUcr34" TargetMode="External"/><Relationship Id="rId2" Type="http://schemas.openxmlformats.org/officeDocument/2006/relationships/hyperlink" Target="https://1drv.ms/b/s!Aj8Kg3zL_hoFrgZen0ZAHP7xHQ_2?e=jEouWh" TargetMode="External"/><Relationship Id="rId1" Type="http://schemas.openxmlformats.org/officeDocument/2006/relationships/hyperlink" Target="mailto:christian.raun@gmail.com" TargetMode="External"/><Relationship Id="rId6" Type="http://schemas.openxmlformats.org/officeDocument/2006/relationships/hyperlink" Target="https://cutt.ly/w2xZYvg" TargetMode="External"/><Relationship Id="rId11" Type="http://schemas.openxmlformats.org/officeDocument/2006/relationships/hyperlink" Target="https://1drv.ms/b/s!Aj8Kg3zL_hoFrghJ82AKvTHhfuzl?e=psnKtf" TargetMode="External"/><Relationship Id="rId5" Type="http://schemas.openxmlformats.org/officeDocument/2006/relationships/hyperlink" Target="https://1drv.ms/u/s!Aj8Kg3zL_hoFrDOeNbDIB9c6aPFo?e=drehZP" TargetMode="External"/><Relationship Id="rId10" Type="http://schemas.openxmlformats.org/officeDocument/2006/relationships/hyperlink" Target="https://1drv.ms/u/s!Aj8Kg3zL_hoFrFsqP5TCj9-uSeWw?e=liW81G" TargetMode="External"/><Relationship Id="rId4" Type="http://schemas.openxmlformats.org/officeDocument/2006/relationships/hyperlink" Target="https://1drv.ms/u/s!Aj8Kg3zL_hoFrDS1Zk-poSipBNpB?e=M5V5gC" TargetMode="External"/><Relationship Id="rId9" Type="http://schemas.openxmlformats.org/officeDocument/2006/relationships/hyperlink" Target="https://1drv.ms/u/s!Aj8Kg3zL_hoFrDOeNbDIB9c6aPFo?e=GRRpI5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b/s!Aj8Kg3zL_hoFr23bb-nnE6KGhJmN?e=onby8S" TargetMode="External"/><Relationship Id="rId13" Type="http://schemas.openxmlformats.org/officeDocument/2006/relationships/hyperlink" Target="https://1drv.ms/u/s!Aj8Kg3zL_hoFsgTYOXx-I93KDj-D?e=wPgd25" TargetMode="External"/><Relationship Id="rId3" Type="http://schemas.openxmlformats.org/officeDocument/2006/relationships/hyperlink" Target="https://1drv.ms/b/s!Aj8Kg3zL_hoFr2zMcXCL63JCkbjP?e=Mg6Eir" TargetMode="External"/><Relationship Id="rId7" Type="http://schemas.openxmlformats.org/officeDocument/2006/relationships/hyperlink" Target="https://1drv.ms/b/s!Aj8Kg3zL_hoFr2zMcXCL63JCkbjP?e=s1dU34" TargetMode="External"/><Relationship Id="rId12" Type="http://schemas.openxmlformats.org/officeDocument/2006/relationships/hyperlink" Target="https://1drv.ms/u/s!Aj8Kg3zL_hoFsgMjHKixTD1pPAuS?e=9pnEau" TargetMode="External"/><Relationship Id="rId17" Type="http://schemas.openxmlformats.org/officeDocument/2006/relationships/hyperlink" Target="https://bit.ly/3ERJ4WR" TargetMode="External"/><Relationship Id="rId2" Type="http://schemas.openxmlformats.org/officeDocument/2006/relationships/hyperlink" Target="https://1drv.ms/b/s!Aj8Kg3zL_hoFr2sWLf5y7OGemzyu?e=raDwL8" TargetMode="External"/><Relationship Id="rId16" Type="http://schemas.openxmlformats.org/officeDocument/2006/relationships/hyperlink" Target="https://bit.ly/3y8HFHD" TargetMode="External"/><Relationship Id="rId1" Type="http://schemas.openxmlformats.org/officeDocument/2006/relationships/hyperlink" Target="mailto:christian.raun@gmail.com" TargetMode="External"/><Relationship Id="rId6" Type="http://schemas.openxmlformats.org/officeDocument/2006/relationships/hyperlink" Target="https://1drv.ms/b/s!Aj8Kg3zL_hoFsX9IuMjk82iHUTyl?e=bjqxxL" TargetMode="External"/><Relationship Id="rId11" Type="http://schemas.openxmlformats.org/officeDocument/2006/relationships/hyperlink" Target="https://1drv.ms/u/s!Aj8Kg3zL_hoFr3LdvvZIVYOyx3PH?e=hLuvnb" TargetMode="External"/><Relationship Id="rId5" Type="http://schemas.openxmlformats.org/officeDocument/2006/relationships/hyperlink" Target="https://1drv.ms/u/s!Aj8Kg3zL_hoFr3LdvvZIVYOyx3PH?e=dhobDh" TargetMode="External"/><Relationship Id="rId15" Type="http://schemas.openxmlformats.org/officeDocument/2006/relationships/hyperlink" Target="https://bit.ly/3y8HFHD" TargetMode="External"/><Relationship Id="rId10" Type="http://schemas.openxmlformats.org/officeDocument/2006/relationships/hyperlink" Target="https://1drv.ms/u/s!Aj8Kg3zL_hoFsgIh-TihlwB8pUpO?e=Sn6dOP" TargetMode="External"/><Relationship Id="rId4" Type="http://schemas.openxmlformats.org/officeDocument/2006/relationships/hyperlink" Target="https://1drv.ms/b/s!Aj8Kg3zL_hoFr23bb-nnE6KGhJmN?e=0QelWc" TargetMode="External"/><Relationship Id="rId9" Type="http://schemas.openxmlformats.org/officeDocument/2006/relationships/hyperlink" Target="https://1drv.ms/b/s!Aj8Kg3zL_hoFsgCPLGkGzdz1P2KC?e=Qtg8cN" TargetMode="External"/><Relationship Id="rId14" Type="http://schemas.openxmlformats.org/officeDocument/2006/relationships/hyperlink" Target="https://1drv.ms/b/s!Aj8Kg3zL_hoFsgCPLGkGzdz1P2KC?e=tQAj7S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bit.ly/3IDm52K" TargetMode="External"/><Relationship Id="rId7" Type="http://schemas.openxmlformats.org/officeDocument/2006/relationships/hyperlink" Target="https://bit.ly/3zeDb2v" TargetMode="External"/><Relationship Id="rId2" Type="http://schemas.openxmlformats.org/officeDocument/2006/relationships/hyperlink" Target="https://1drv.ms/b/s!Aj8Kg3zL_hoFr2zMcXCL63JCkbjP?e=s1dU34" TargetMode="External"/><Relationship Id="rId1" Type="http://schemas.openxmlformats.org/officeDocument/2006/relationships/hyperlink" Target="https://1drv.ms/b/s!Aj8Kg3zL_hoFr2zMcXCL63JCkbjP?e=Mg6Eir" TargetMode="External"/><Relationship Id="rId6" Type="http://schemas.openxmlformats.org/officeDocument/2006/relationships/hyperlink" Target="https://bit.ly/3zeDb2v" TargetMode="External"/><Relationship Id="rId5" Type="http://schemas.openxmlformats.org/officeDocument/2006/relationships/hyperlink" Target="https://bit.ly/3nywKon" TargetMode="External"/><Relationship Id="rId4" Type="http://schemas.openxmlformats.org/officeDocument/2006/relationships/hyperlink" Target="https://1drv.ms/b/s!Aj8Kg3zL_hoFsku_fxAxBBWzf2bO?e=tWqgE5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esparkconsultants.slack.com/archives/C03C36TQWQK/p1682365667473239" TargetMode="External"/><Relationship Id="rId13" Type="http://schemas.openxmlformats.org/officeDocument/2006/relationships/hyperlink" Target="https://1drv.ms/b/s!Aj8Kg3zL_hoFtlNQy7LLc_lky1Pq?e=UXJEOJ" TargetMode="External"/><Relationship Id="rId3" Type="http://schemas.openxmlformats.org/officeDocument/2006/relationships/hyperlink" Target="https://esparkconsultants.slack.com/archives/C03C36TQWQK/p1680347006312619" TargetMode="External"/><Relationship Id="rId7" Type="http://schemas.openxmlformats.org/officeDocument/2006/relationships/hyperlink" Target="https://esparkconsultants.slack.com/archives/C03C36TQWQK/p1682341660533969" TargetMode="External"/><Relationship Id="rId12" Type="http://schemas.openxmlformats.org/officeDocument/2006/relationships/hyperlink" Target="https://1drv.ms/b/s!Aj8Kg3zL_hoFtlJFWJwLZmICGZZ3?e=iOLyRp" TargetMode="External"/><Relationship Id="rId2" Type="http://schemas.openxmlformats.org/officeDocument/2006/relationships/hyperlink" Target="https://esparkconsultants.slack.com/archives/C03C36TQWQK/p1680687587870029" TargetMode="External"/><Relationship Id="rId1" Type="http://schemas.openxmlformats.org/officeDocument/2006/relationships/hyperlink" Target="https://esparkconsultants.slack.com/archives/C03C36TQWQK/p1680598330528119" TargetMode="External"/><Relationship Id="rId6" Type="http://schemas.openxmlformats.org/officeDocument/2006/relationships/hyperlink" Target="https://esparkconsultants.slack.com/archives/C03C36TQWQK/p1681572478663509" TargetMode="External"/><Relationship Id="rId11" Type="http://schemas.openxmlformats.org/officeDocument/2006/relationships/hyperlink" Target="https://1drv.ms/b/s!Aj8Kg3zL_hoFtlBOFE1Yoww4AygV?e=quwGke" TargetMode="External"/><Relationship Id="rId5" Type="http://schemas.openxmlformats.org/officeDocument/2006/relationships/hyperlink" Target="https://esparkconsultants.slack.com/archives/C03C36TQWQK/p1681572478663509" TargetMode="External"/><Relationship Id="rId10" Type="http://schemas.openxmlformats.org/officeDocument/2006/relationships/hyperlink" Target="https://1drv.ms/i/s!Aj8Kg3zL_hoFthd6DKxnAErPxERl?e=6YydM5" TargetMode="External"/><Relationship Id="rId4" Type="http://schemas.openxmlformats.org/officeDocument/2006/relationships/hyperlink" Target="https://esparkconsultants.slack.com/archives/C03C36TQWQK/p1681477649219489" TargetMode="External"/><Relationship Id="rId9" Type="http://schemas.openxmlformats.org/officeDocument/2006/relationships/hyperlink" Target="https://1drv.ms/b/s!Aj8Kg3zL_hoFthb5Ecj45vIkhs2X?e=Sc391Y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1drv.ms/b/s!Aj8Kg3zL_hoFt38YXVfa-zWwQIRA?e=7e1xlS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i/s!Aj8Kg3zL_hoFvHdxtx9A_DD8mst9?e=GbbO1J" TargetMode="External"/><Relationship Id="rId2" Type="http://schemas.openxmlformats.org/officeDocument/2006/relationships/hyperlink" Target="https://1drv.ms/b/s!Aj8Kg3zL_hoFul_Bac5I7Q81XtU2?e=Qe4o5Z" TargetMode="External"/><Relationship Id="rId1" Type="http://schemas.openxmlformats.org/officeDocument/2006/relationships/hyperlink" Target="https://1drv.ms/b/s!Aj8Kg3zL_hoFumByzhTvfYKji5NJ?e=pTl6s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1drv.ms/b/s!Aj8Kg3zL_hoFwlxlDi2ETth7EIg4?e=0tUTnl" TargetMode="External"/><Relationship Id="rId4" Type="http://schemas.openxmlformats.org/officeDocument/2006/relationships/hyperlink" Target="https://1drv.ms/i/s!Aj8Kg3zL_hoFwluZE7UpdVNA5wSL?e=no4Nwn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s://1drv.ms/i/s!Aj8Kg3zL_hoFw1F7QrO5wVKaJS33?e=gkGhuk" TargetMode="External"/><Relationship Id="rId18" Type="http://schemas.openxmlformats.org/officeDocument/2006/relationships/hyperlink" Target="https://1drv.ms/i/s!Aj8Kg3zL_hoFxAvPBL0i4Al5TfHN?e=qqYmaS" TargetMode="External"/><Relationship Id="rId26" Type="http://schemas.openxmlformats.org/officeDocument/2006/relationships/hyperlink" Target="https://1drv.ms/i/s!AkxUlLj48oOEgY4tGsg4TgMmQfUreA?e=eeP9Fd" TargetMode="External"/><Relationship Id="rId39" Type="http://schemas.openxmlformats.org/officeDocument/2006/relationships/hyperlink" Target="https://1drv.ms/b/s!AkxUlLj48oOEgZ9ez70XZWAfQq6NEw?e=6LK413" TargetMode="External"/><Relationship Id="rId21" Type="http://schemas.openxmlformats.org/officeDocument/2006/relationships/hyperlink" Target="https://1drv.ms/b/s!AkxUlLj48oOEgY4T0ZYnaUwYM9pJLQ?e=oAip9I" TargetMode="External"/><Relationship Id="rId34" Type="http://schemas.openxmlformats.org/officeDocument/2006/relationships/hyperlink" Target="https://1drv.ms/b/s!AkxUlLj48oOEgZdiKyR1YEfQnlJcOQ?e=CuGr5C" TargetMode="External"/><Relationship Id="rId42" Type="http://schemas.openxmlformats.org/officeDocument/2006/relationships/hyperlink" Target="https://1drv.ms/i/s!AkxUlLj48oOEgaxtFUNzBAJoxZzLLg?e=7VTb0c" TargetMode="External"/><Relationship Id="rId7" Type="http://schemas.openxmlformats.org/officeDocument/2006/relationships/hyperlink" Target="https://1drv.ms/i/s!Aj8Kg3zL_hoFwl1pWbXhfa998i9_?e=09gfXI" TargetMode="External"/><Relationship Id="rId2" Type="http://schemas.openxmlformats.org/officeDocument/2006/relationships/hyperlink" Target="https://1drv.ms/b/s!Aj8Kg3zL_hoFul_Bac5I7Q81XtU2?e=Qe4o5Z" TargetMode="External"/><Relationship Id="rId16" Type="http://schemas.openxmlformats.org/officeDocument/2006/relationships/hyperlink" Target="https://1drv.ms/i/s!Aj8Kg3zL_hoFxAjdXzblvcQXCIRC?e=BBQpzk" TargetMode="External"/><Relationship Id="rId20" Type="http://schemas.openxmlformats.org/officeDocument/2006/relationships/hyperlink" Target="https://1drv.ms/b/s!Aj8Kg3zL_hoFw0ST4UbEB1h1WWef?e=UdIYBj" TargetMode="External"/><Relationship Id="rId29" Type="http://schemas.openxmlformats.org/officeDocument/2006/relationships/hyperlink" Target="https://1drv.ms/i/s!AkxUlLj48oOEgY5jaowCG8VHL8wIdA?e=1Si4ag" TargetMode="External"/><Relationship Id="rId41" Type="http://schemas.openxmlformats.org/officeDocument/2006/relationships/hyperlink" Target="https://1drv.ms/b/s!AkxUlLj48oOEgZgLjqV9BM4fnM37rA?e=2erLSy" TargetMode="External"/><Relationship Id="rId1" Type="http://schemas.openxmlformats.org/officeDocument/2006/relationships/hyperlink" Target="https://1drv.ms/b/s!Aj8Kg3zL_hoFumByzhTvfYKji5NJ?e=pTl6sn" TargetMode="External"/><Relationship Id="rId6" Type="http://schemas.openxmlformats.org/officeDocument/2006/relationships/hyperlink" Target="https://1drv.ms/i/s!Aj8Kg3zL_hoFwl5iLWoS6pv6Q125?e=wiFjky" TargetMode="External"/><Relationship Id="rId11" Type="http://schemas.openxmlformats.org/officeDocument/2006/relationships/hyperlink" Target="https://1drv.ms/b/s!Aj8Kg3zL_hoFw0-hT4W2X3GlqHwy?e=uETZZl" TargetMode="External"/><Relationship Id="rId24" Type="http://schemas.openxmlformats.org/officeDocument/2006/relationships/hyperlink" Target="https://1drv.ms/i/s!AkxUlLj48oOEgY4bAhLcIg3egkoPaw?e=AmrF6q" TargetMode="External"/><Relationship Id="rId32" Type="http://schemas.openxmlformats.org/officeDocument/2006/relationships/hyperlink" Target="https://1drv.ms/i/s!AkxUlLj48oOEgZNeVRJgJ18P72smSA?e=I9MwWX" TargetMode="External"/><Relationship Id="rId37" Type="http://schemas.openxmlformats.org/officeDocument/2006/relationships/hyperlink" Target="https://1drv.ms/b/s!AkxUlLj48oOEgZ9dPkMbWxYJoFb_Kw?e=Vpawkh" TargetMode="External"/><Relationship Id="rId40" Type="http://schemas.openxmlformats.org/officeDocument/2006/relationships/hyperlink" Target="https://1drv.ms/i/s!AkxUlLj48oOEgaA_VkcD5bScRqzJpQ?e=4yHmk4" TargetMode="External"/><Relationship Id="rId5" Type="http://schemas.openxmlformats.org/officeDocument/2006/relationships/hyperlink" Target="https://1drv.ms/b/s!Aj8Kg3zL_hoFwlxlDi2ETth7EIg4?e=0tUTnl" TargetMode="External"/><Relationship Id="rId15" Type="http://schemas.openxmlformats.org/officeDocument/2006/relationships/hyperlink" Target="https://1drv.ms/b/s!Aj8Kg3zL_hoFxAluiXPJaZoUsK4J?e=RaphsK" TargetMode="External"/><Relationship Id="rId23" Type="http://schemas.openxmlformats.org/officeDocument/2006/relationships/hyperlink" Target="https://1drv.ms/i/s!AkxUlLj48oOEgY4cpPftS6XwKF7Qjw?e=K3OuCp" TargetMode="External"/><Relationship Id="rId28" Type="http://schemas.openxmlformats.org/officeDocument/2006/relationships/hyperlink" Target="https://1drv.ms/i/s!AkxUlLj48oOEgY5dKJt-FQAlH-hSkQ?e=QvuR36" TargetMode="External"/><Relationship Id="rId36" Type="http://schemas.openxmlformats.org/officeDocument/2006/relationships/hyperlink" Target="https://1drv.ms/b/s!AkxUlLj48oOEgZ9bBeC3CfCelP4qIg?e=tUeH95" TargetMode="External"/><Relationship Id="rId10" Type="http://schemas.openxmlformats.org/officeDocument/2006/relationships/hyperlink" Target="https://1drv.ms/b/s!Aj8Kg3zL_hoFw0-hT4W2X3GlqHwy?e=uETZZl" TargetMode="External"/><Relationship Id="rId19" Type="http://schemas.openxmlformats.org/officeDocument/2006/relationships/hyperlink" Target="https://1drv.ms/i/s!Aj8Kg3zL_hoFxAqwqUvohCedfuek?e=f5Ynb6" TargetMode="External"/><Relationship Id="rId31" Type="http://schemas.openxmlformats.org/officeDocument/2006/relationships/hyperlink" Target="https://1drv.ms/b/s!AkxUlLj48oOEgZMsvx1gD9DA6gY1MA?e=XDw8aJ" TargetMode="External"/><Relationship Id="rId44" Type="http://schemas.openxmlformats.org/officeDocument/2006/relationships/hyperlink" Target="https://1drv.ms/i/s!AkxUlLj48oOEga5wJPfCEPgIFuNnDA?e=oZR0HR" TargetMode="External"/><Relationship Id="rId4" Type="http://schemas.openxmlformats.org/officeDocument/2006/relationships/hyperlink" Target="https://1drv.ms/i/s!Aj8Kg3zL_hoFwluZE7UpdVNA5wSL?e=no4Nwn" TargetMode="External"/><Relationship Id="rId9" Type="http://schemas.openxmlformats.org/officeDocument/2006/relationships/hyperlink" Target="https://1drv.ms/i/s!Aj8Kg3zL_hoFwwFCicmhl_2PgwZA?e=GgkfVC" TargetMode="External"/><Relationship Id="rId14" Type="http://schemas.openxmlformats.org/officeDocument/2006/relationships/hyperlink" Target="https://1drv.ms/i/s!Aj8Kg3zL_hoFxAbDz7c6JZcwDUYz?e=5jeZNb" TargetMode="External"/><Relationship Id="rId22" Type="http://schemas.openxmlformats.org/officeDocument/2006/relationships/hyperlink" Target="https://1drv.ms/b/s!AkxUlLj48oOEgY4aPuOp0WF0qlqKIw?e=m5QLuJ" TargetMode="External"/><Relationship Id="rId27" Type="http://schemas.openxmlformats.org/officeDocument/2006/relationships/hyperlink" Target="https://1drv.ms/b/s!AkxUlLj48oOEgY5e1BgoS7cP99o9dQ?e=zWIq8S" TargetMode="External"/><Relationship Id="rId30" Type="http://schemas.openxmlformats.org/officeDocument/2006/relationships/hyperlink" Target="https://1drv.ms/i/s!AkxUlLj48oOEgZMt2koNqtGKe8M9VQ?e=4SiXNp" TargetMode="External"/><Relationship Id="rId35" Type="http://schemas.openxmlformats.org/officeDocument/2006/relationships/hyperlink" Target="https://1drv.ms/b/s!AkxUlLj48oOEgaNR-z8VKEiYC7WRQg?e=jYQjjU" TargetMode="External"/><Relationship Id="rId43" Type="http://schemas.openxmlformats.org/officeDocument/2006/relationships/hyperlink" Target="https://1drv.ms/i/s!AkxUlLj48oOEgaxwcbNB0rlGIYXhiQ?e=C9ce9o" TargetMode="External"/><Relationship Id="rId8" Type="http://schemas.openxmlformats.org/officeDocument/2006/relationships/hyperlink" Target="https://1drv.ms/i/s!Aj8Kg3zL_hoFwl85goTjJbO6wHpl?e=ihwL0h" TargetMode="External"/><Relationship Id="rId3" Type="http://schemas.openxmlformats.org/officeDocument/2006/relationships/hyperlink" Target="https://1drv.ms/i/s!Aj8Kg3zL_hoFvHdxtx9A_DD8mst9?e=GbbO1J" TargetMode="External"/><Relationship Id="rId12" Type="http://schemas.openxmlformats.org/officeDocument/2006/relationships/hyperlink" Target="https://1drv.ms/i/s!Aj8Kg3zL_hoFw1BvaYEjaKa2IECB?e=BIWRao" TargetMode="External"/><Relationship Id="rId17" Type="http://schemas.openxmlformats.org/officeDocument/2006/relationships/hyperlink" Target="https://1drv.ms/i/s!Aj8Kg3zL_hoFxAePhYnS18HB74Al?e=66EGRF" TargetMode="External"/><Relationship Id="rId25" Type="http://schemas.openxmlformats.org/officeDocument/2006/relationships/hyperlink" Target="https://1drv.ms/i/s!AkxUlLj48oOEgY4rHnVDgjxdZyC98w?e=KmeQPp" TargetMode="External"/><Relationship Id="rId33" Type="http://schemas.openxmlformats.org/officeDocument/2006/relationships/hyperlink" Target="https://1drv.ms/i/s!AkxUlLj48oOEgZgp_8wNpqHrCLf-QA?e=S9a01S" TargetMode="External"/><Relationship Id="rId38" Type="http://schemas.openxmlformats.org/officeDocument/2006/relationships/hyperlink" Target="https://1drv.ms/b/s!AkxUlLj48oOEgaNR-z8VKEiYC7WRQg?e=a2TUki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esparkconsultants.slack.com/archives/C03C36TQWQK/p1679531832558929" TargetMode="External"/><Relationship Id="rId1" Type="http://schemas.openxmlformats.org/officeDocument/2006/relationships/hyperlink" Target="https://1drv.ms/b/s!Aj8Kg3zL_hoFr2zMcXCL63JCkbjP?e=Mg6E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V18" sqref="V18"/>
    </sheetView>
  </sheetViews>
  <sheetFormatPr defaultColWidth="14.42578125" defaultRowHeight="15" customHeight="1"/>
  <cols>
    <col min="1" max="1" width="11.85546875" customWidth="1"/>
    <col min="2" max="2" width="18.28515625" customWidth="1"/>
    <col min="3" max="3" width="26.5703125" customWidth="1"/>
    <col min="4" max="4" width="29" customWidth="1"/>
    <col min="5" max="5" width="15.140625" customWidth="1"/>
    <col min="6" max="6" width="4.7109375" customWidth="1"/>
    <col min="7" max="7" width="20.85546875" customWidth="1"/>
    <col min="8" max="8" width="11.7109375" customWidth="1"/>
    <col min="9" max="9" width="8.7109375" customWidth="1"/>
    <col min="10" max="10" width="13.85546875" customWidth="1"/>
    <col min="11" max="26" width="8.7109375" customWidth="1"/>
  </cols>
  <sheetData>
    <row r="1" spans="1:10" ht="15" customHeight="1">
      <c r="A1" t="s">
        <v>0</v>
      </c>
      <c r="B1" t="s">
        <v>1</v>
      </c>
    </row>
    <row r="2" spans="1:10" ht="15" customHeight="1">
      <c r="A2" t="s">
        <v>2</v>
      </c>
      <c r="B2" t="s">
        <v>3</v>
      </c>
    </row>
    <row r="3" spans="1:10" ht="15" customHeight="1">
      <c r="A3" t="s">
        <v>4</v>
      </c>
      <c r="B3" t="s">
        <v>5</v>
      </c>
    </row>
    <row r="4" spans="1:10" ht="13.5" customHeight="1">
      <c r="A4" t="s">
        <v>6</v>
      </c>
      <c r="B4" t="s">
        <v>7</v>
      </c>
      <c r="I4" s="1"/>
      <c r="J4" s="1"/>
    </row>
    <row r="5" spans="1:10">
      <c r="A5" t="s">
        <v>8</v>
      </c>
      <c r="B5" t="s">
        <v>9</v>
      </c>
    </row>
    <row r="6" spans="1:10">
      <c r="A6" s="338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I1000"/>
  <sheetViews>
    <sheetView workbookViewId="0"/>
  </sheetViews>
  <sheetFormatPr defaultColWidth="14.42578125" defaultRowHeight="15" customHeight="1"/>
  <cols>
    <col min="1" max="2" width="8.7109375" customWidth="1"/>
    <col min="3" max="3" width="49.140625" customWidth="1"/>
    <col min="4" max="4" width="22.7109375" customWidth="1"/>
    <col min="5" max="5" width="48.85546875" customWidth="1"/>
    <col min="6" max="6" width="2.7109375" customWidth="1"/>
    <col min="7" max="7" width="13.7109375" customWidth="1"/>
    <col min="8" max="8" width="14.85546875" customWidth="1"/>
    <col min="9" max="9" width="9.7109375" customWidth="1"/>
    <col min="10" max="26" width="8.7109375" customWidth="1"/>
  </cols>
  <sheetData>
    <row r="4" spans="2:8">
      <c r="B4" s="431" t="s">
        <v>11</v>
      </c>
      <c r="C4" s="432"/>
      <c r="D4" s="432"/>
      <c r="E4" s="433"/>
    </row>
    <row r="5" spans="2:8" ht="28.5" customHeight="1">
      <c r="B5" s="434"/>
      <c r="C5" s="435"/>
      <c r="D5" s="435"/>
      <c r="E5" s="436"/>
      <c r="G5" s="437" t="s">
        <v>12</v>
      </c>
      <c r="H5" s="438"/>
    </row>
    <row r="6" spans="2:8" ht="28.5" customHeight="1">
      <c r="B6" s="439" t="s">
        <v>13</v>
      </c>
      <c r="C6" s="440"/>
      <c r="D6" s="440"/>
      <c r="E6" s="441"/>
      <c r="G6" s="3" t="s">
        <v>14</v>
      </c>
      <c r="H6" s="4">
        <f>SUM(D8:D86)</f>
        <v>2330360</v>
      </c>
    </row>
    <row r="7" spans="2:8" ht="21.75" customHeight="1">
      <c r="B7" s="112" t="s">
        <v>15</v>
      </c>
      <c r="C7" s="112" t="s">
        <v>16</v>
      </c>
      <c r="D7" s="112" t="s">
        <v>17</v>
      </c>
      <c r="E7" s="112" t="s">
        <v>18</v>
      </c>
    </row>
    <row r="8" spans="2:8" ht="15.75">
      <c r="B8" s="5">
        <v>1</v>
      </c>
      <c r="C8" s="6" t="s">
        <v>19</v>
      </c>
      <c r="D8" s="7">
        <f>60000*6</f>
        <v>360000</v>
      </c>
      <c r="E8" s="8"/>
    </row>
    <row r="9" spans="2:8" ht="15.75">
      <c r="B9" s="9">
        <v>2</v>
      </c>
      <c r="C9" s="6" t="s">
        <v>20</v>
      </c>
      <c r="D9" s="10">
        <v>60000</v>
      </c>
      <c r="E9" s="11"/>
    </row>
    <row r="10" spans="2:8" ht="15.75">
      <c r="B10" s="9">
        <v>3</v>
      </c>
      <c r="C10" s="6" t="s">
        <v>21</v>
      </c>
      <c r="D10" s="10">
        <v>60000</v>
      </c>
      <c r="E10" s="11"/>
    </row>
    <row r="11" spans="2:8" ht="15.75">
      <c r="B11" s="9">
        <v>4</v>
      </c>
      <c r="C11" s="6" t="s">
        <v>22</v>
      </c>
      <c r="D11" s="10">
        <v>13500</v>
      </c>
      <c r="E11" s="11"/>
      <c r="G11" s="12"/>
      <c r="H11" s="13"/>
    </row>
    <row r="12" spans="2:8" ht="15.75">
      <c r="B12" s="9">
        <v>5</v>
      </c>
      <c r="C12" s="6" t="s">
        <v>23</v>
      </c>
      <c r="D12" s="10">
        <v>450</v>
      </c>
      <c r="E12" s="7"/>
      <c r="G12" s="12"/>
      <c r="H12" s="13"/>
    </row>
    <row r="13" spans="2:8" ht="15.75">
      <c r="B13" s="9">
        <v>6</v>
      </c>
      <c r="C13" s="6" t="s">
        <v>24</v>
      </c>
      <c r="D13" s="10">
        <v>400</v>
      </c>
      <c r="E13" s="7"/>
      <c r="G13" s="12"/>
      <c r="H13" s="13"/>
    </row>
    <row r="14" spans="2:8" ht="15.75">
      <c r="B14" s="9">
        <v>7</v>
      </c>
      <c r="C14" s="6" t="s">
        <v>25</v>
      </c>
      <c r="D14" s="10">
        <v>250</v>
      </c>
      <c r="E14" s="7"/>
    </row>
    <row r="15" spans="2:8" ht="15.75">
      <c r="B15" s="9">
        <v>8</v>
      </c>
      <c r="C15" s="6" t="s">
        <v>26</v>
      </c>
      <c r="D15" s="10">
        <v>750</v>
      </c>
      <c r="E15" s="7"/>
    </row>
    <row r="16" spans="2:8" ht="15.75">
      <c r="B16" s="9">
        <v>9</v>
      </c>
      <c r="C16" s="6" t="s">
        <v>27</v>
      </c>
      <c r="D16" s="10">
        <v>850</v>
      </c>
      <c r="E16" s="7"/>
    </row>
    <row r="17" spans="2:9" ht="15.75">
      <c r="B17" s="9">
        <v>10</v>
      </c>
      <c r="C17" s="6" t="s">
        <v>28</v>
      </c>
      <c r="D17" s="10">
        <v>500</v>
      </c>
      <c r="E17" s="7"/>
      <c r="I17" s="14"/>
    </row>
    <row r="18" spans="2:9" ht="15.75">
      <c r="B18" s="9">
        <v>11</v>
      </c>
      <c r="C18" s="6" t="s">
        <v>29</v>
      </c>
      <c r="D18" s="10">
        <v>150</v>
      </c>
      <c r="E18" s="7"/>
      <c r="I18" s="14"/>
    </row>
    <row r="19" spans="2:9" ht="15.75">
      <c r="B19" s="9">
        <v>12</v>
      </c>
      <c r="C19" s="6" t="s">
        <v>30</v>
      </c>
      <c r="D19" s="10">
        <v>25500</v>
      </c>
      <c r="E19" s="7"/>
    </row>
    <row r="20" spans="2:9" ht="15.75">
      <c r="B20" s="9">
        <v>13</v>
      </c>
      <c r="C20" s="6" t="s">
        <v>31</v>
      </c>
      <c r="D20" s="10">
        <v>800</v>
      </c>
      <c r="E20" s="7"/>
    </row>
    <row r="21" spans="2:9" ht="15.75" customHeight="1">
      <c r="B21" s="9">
        <v>14</v>
      </c>
      <c r="C21" s="6" t="s">
        <v>32</v>
      </c>
      <c r="D21" s="10">
        <v>7500</v>
      </c>
      <c r="E21" s="7"/>
    </row>
    <row r="22" spans="2:9" ht="15.75" customHeight="1">
      <c r="B22" s="9">
        <v>15</v>
      </c>
      <c r="C22" s="15" t="s">
        <v>33</v>
      </c>
      <c r="D22" s="16">
        <f>292000+6000+28700+50000</f>
        <v>376700</v>
      </c>
      <c r="E22" s="17" t="s">
        <v>34</v>
      </c>
    </row>
    <row r="23" spans="2:9" ht="15.75" customHeight="1">
      <c r="B23" s="9">
        <v>16</v>
      </c>
      <c r="C23" s="6" t="s">
        <v>35</v>
      </c>
      <c r="D23" s="10">
        <v>24720</v>
      </c>
      <c r="E23" s="7" t="s">
        <v>36</v>
      </c>
    </row>
    <row r="24" spans="2:9" ht="15.75" customHeight="1">
      <c r="B24" s="9">
        <v>17</v>
      </c>
      <c r="C24" s="15" t="s">
        <v>37</v>
      </c>
      <c r="D24" s="16">
        <f>4000+5000+1500</f>
        <v>10500</v>
      </c>
      <c r="E24" s="16"/>
    </row>
    <row r="25" spans="2:9" ht="15.75" customHeight="1">
      <c r="B25" s="9">
        <v>18</v>
      </c>
      <c r="C25" s="6" t="s">
        <v>38</v>
      </c>
      <c r="D25" s="10">
        <v>138000</v>
      </c>
      <c r="E25" s="7"/>
    </row>
    <row r="26" spans="2:9" ht="15.75" customHeight="1">
      <c r="B26" s="9">
        <v>19</v>
      </c>
      <c r="C26" s="6" t="s">
        <v>39</v>
      </c>
      <c r="D26" s="10">
        <f>50540+1000</f>
        <v>51540</v>
      </c>
      <c r="E26" s="7" t="s">
        <v>40</v>
      </c>
    </row>
    <row r="27" spans="2:9" ht="15.75" customHeight="1">
      <c r="B27" s="9">
        <v>20</v>
      </c>
      <c r="C27" s="6" t="s">
        <v>41</v>
      </c>
      <c r="D27" s="10">
        <v>30500</v>
      </c>
      <c r="E27" s="7"/>
    </row>
    <row r="28" spans="2:9" ht="15.75" customHeight="1">
      <c r="B28" s="9">
        <v>21</v>
      </c>
      <c r="C28" s="6" t="s">
        <v>42</v>
      </c>
      <c r="D28" s="10">
        <v>7000</v>
      </c>
      <c r="E28" s="7" t="s">
        <v>43</v>
      </c>
    </row>
    <row r="29" spans="2:9" ht="15.75" customHeight="1">
      <c r="B29" s="9">
        <v>22</v>
      </c>
      <c r="C29" s="6" t="s">
        <v>44</v>
      </c>
      <c r="D29" s="10">
        <v>2500</v>
      </c>
      <c r="E29" s="7"/>
    </row>
    <row r="30" spans="2:9" ht="15.75" customHeight="1">
      <c r="B30" s="9">
        <v>23</v>
      </c>
      <c r="C30" s="6" t="s">
        <v>45</v>
      </c>
      <c r="D30" s="10">
        <v>12000</v>
      </c>
      <c r="E30" s="8"/>
    </row>
    <row r="31" spans="2:9" ht="15.75" customHeight="1">
      <c r="B31" s="9">
        <v>24</v>
      </c>
      <c r="C31" s="6" t="s">
        <v>46</v>
      </c>
      <c r="D31" s="10">
        <f>1800+600</f>
        <v>2400</v>
      </c>
      <c r="E31" s="7" t="s">
        <v>47</v>
      </c>
    </row>
    <row r="32" spans="2:9" ht="15.75" customHeight="1">
      <c r="B32" s="9">
        <v>25</v>
      </c>
      <c r="C32" s="6" t="s">
        <v>48</v>
      </c>
      <c r="D32" s="10">
        <v>9600</v>
      </c>
      <c r="E32" s="18"/>
    </row>
    <row r="33" spans="2:5" ht="15.75" customHeight="1">
      <c r="B33" s="9">
        <v>26</v>
      </c>
      <c r="C33" s="19" t="s">
        <v>49</v>
      </c>
      <c r="D33" s="10">
        <f>1000+2000</f>
        <v>3000</v>
      </c>
      <c r="E33" s="10"/>
    </row>
    <row r="34" spans="2:5" ht="15.75" customHeight="1">
      <c r="B34" s="9">
        <v>27</v>
      </c>
      <c r="C34" s="6" t="s">
        <v>50</v>
      </c>
      <c r="D34" s="10">
        <v>2000</v>
      </c>
      <c r="E34" s="7"/>
    </row>
    <row r="35" spans="2:5" ht="15.75" customHeight="1">
      <c r="B35" s="9">
        <v>28</v>
      </c>
      <c r="C35" s="19" t="s">
        <v>51</v>
      </c>
      <c r="D35" s="10">
        <v>5450</v>
      </c>
      <c r="E35" s="10" t="s">
        <v>52</v>
      </c>
    </row>
    <row r="36" spans="2:5" ht="15.75" customHeight="1">
      <c r="B36" s="9">
        <v>29</v>
      </c>
      <c r="C36" s="6" t="s">
        <v>53</v>
      </c>
      <c r="D36" s="10">
        <v>1300</v>
      </c>
      <c r="E36" s="7" t="s">
        <v>54</v>
      </c>
    </row>
    <row r="37" spans="2:5" ht="15.75" customHeight="1">
      <c r="B37" s="9">
        <v>30</v>
      </c>
      <c r="C37" s="6" t="s">
        <v>55</v>
      </c>
      <c r="D37" s="10">
        <v>550</v>
      </c>
      <c r="E37" s="7"/>
    </row>
    <row r="38" spans="2:5" ht="15.75" customHeight="1">
      <c r="B38" s="9">
        <v>31</v>
      </c>
      <c r="C38" s="6" t="s">
        <v>56</v>
      </c>
      <c r="D38" s="7">
        <v>1500</v>
      </c>
      <c r="E38" s="7"/>
    </row>
    <row r="39" spans="2:5" ht="15.75" customHeight="1">
      <c r="B39" s="9">
        <v>32</v>
      </c>
      <c r="C39" s="6" t="s">
        <v>57</v>
      </c>
      <c r="D39" s="10">
        <v>12900</v>
      </c>
      <c r="E39" s="7" t="s">
        <v>58</v>
      </c>
    </row>
    <row r="40" spans="2:5" ht="15.75" customHeight="1">
      <c r="B40" s="9">
        <v>33</v>
      </c>
      <c r="C40" s="19" t="s">
        <v>59</v>
      </c>
      <c r="D40" s="10">
        <v>250000</v>
      </c>
      <c r="E40" s="10" t="s">
        <v>60</v>
      </c>
    </row>
    <row r="41" spans="2:5" ht="15.75" customHeight="1">
      <c r="B41" s="9">
        <v>34</v>
      </c>
      <c r="C41" s="6" t="s">
        <v>61</v>
      </c>
      <c r="D41" s="10">
        <f>10000+1000</f>
        <v>11000</v>
      </c>
      <c r="E41" s="7"/>
    </row>
    <row r="42" spans="2:5" ht="15.75" customHeight="1">
      <c r="B42" s="9">
        <v>35</v>
      </c>
      <c r="C42" s="6" t="s">
        <v>62</v>
      </c>
      <c r="D42" s="10">
        <v>1700</v>
      </c>
      <c r="E42" s="18"/>
    </row>
    <row r="43" spans="2:5" ht="15.75" customHeight="1">
      <c r="B43" s="9">
        <v>36</v>
      </c>
      <c r="C43" s="6" t="s">
        <v>55</v>
      </c>
      <c r="D43" s="10">
        <v>1000</v>
      </c>
      <c r="E43" s="18"/>
    </row>
    <row r="44" spans="2:5" ht="15.75" customHeight="1">
      <c r="B44" s="9">
        <v>37</v>
      </c>
      <c r="C44" s="6" t="s">
        <v>63</v>
      </c>
      <c r="D44" s="10">
        <v>2200</v>
      </c>
      <c r="E44" s="18"/>
    </row>
    <row r="45" spans="2:5" ht="15.75" customHeight="1">
      <c r="B45" s="9">
        <v>38</v>
      </c>
      <c r="C45" s="6" t="s">
        <v>64</v>
      </c>
      <c r="D45" s="10">
        <v>2300</v>
      </c>
      <c r="E45" s="18"/>
    </row>
    <row r="46" spans="2:5" ht="15.75" customHeight="1">
      <c r="B46" s="9">
        <v>39</v>
      </c>
      <c r="C46" s="6" t="s">
        <v>65</v>
      </c>
      <c r="D46" s="10">
        <v>23500</v>
      </c>
      <c r="E46" s="18"/>
    </row>
    <row r="47" spans="2:5" ht="15.75" customHeight="1">
      <c r="B47" s="9">
        <v>40</v>
      </c>
      <c r="C47" s="6" t="s">
        <v>66</v>
      </c>
      <c r="D47" s="10">
        <v>500</v>
      </c>
      <c r="E47" s="18"/>
    </row>
    <row r="48" spans="2:5" ht="15.75" customHeight="1">
      <c r="B48" s="9">
        <v>41</v>
      </c>
      <c r="C48" s="6" t="s">
        <v>67</v>
      </c>
      <c r="D48" s="10">
        <v>23500</v>
      </c>
      <c r="E48" s="18"/>
    </row>
    <row r="49" spans="2:5" ht="15.75" customHeight="1">
      <c r="B49" s="9">
        <v>42</v>
      </c>
      <c r="C49" s="6" t="s">
        <v>68</v>
      </c>
      <c r="D49" s="10">
        <v>1000</v>
      </c>
      <c r="E49" s="18"/>
    </row>
    <row r="50" spans="2:5" ht="15.75" customHeight="1">
      <c r="B50" s="9">
        <v>43</v>
      </c>
      <c r="C50" s="6" t="s">
        <v>69</v>
      </c>
      <c r="D50" s="10">
        <v>2550</v>
      </c>
      <c r="E50" s="18"/>
    </row>
    <row r="51" spans="2:5" ht="15.75" customHeight="1">
      <c r="B51" s="9">
        <v>44</v>
      </c>
      <c r="C51" s="19" t="s">
        <v>70</v>
      </c>
      <c r="D51" s="10">
        <v>9500</v>
      </c>
      <c r="E51" s="20"/>
    </row>
    <row r="52" spans="2:5" ht="15.75" customHeight="1">
      <c r="B52" s="9">
        <v>45</v>
      </c>
      <c r="C52" s="6" t="s">
        <v>71</v>
      </c>
      <c r="D52" s="10">
        <v>2000</v>
      </c>
      <c r="E52" s="18"/>
    </row>
    <row r="53" spans="2:5" ht="15.75" customHeight="1">
      <c r="B53" s="9">
        <v>46</v>
      </c>
      <c r="C53" s="6" t="s">
        <v>72</v>
      </c>
      <c r="D53" s="10">
        <v>8481</v>
      </c>
      <c r="E53" s="18"/>
    </row>
    <row r="54" spans="2:5" ht="15.75" customHeight="1">
      <c r="B54" s="9">
        <v>47</v>
      </c>
      <c r="C54" s="6" t="s">
        <v>73</v>
      </c>
      <c r="D54" s="10">
        <v>250</v>
      </c>
      <c r="E54" s="18"/>
    </row>
    <row r="55" spans="2:5" ht="15.75" customHeight="1">
      <c r="B55" s="9">
        <v>48</v>
      </c>
      <c r="C55" s="6" t="s">
        <v>74</v>
      </c>
      <c r="D55" s="10">
        <v>80</v>
      </c>
      <c r="E55" s="18"/>
    </row>
    <row r="56" spans="2:5" ht="15.75" customHeight="1">
      <c r="B56" s="9">
        <v>49</v>
      </c>
      <c r="C56" s="6" t="s">
        <v>75</v>
      </c>
      <c r="D56" s="10">
        <v>600</v>
      </c>
      <c r="E56" s="18"/>
    </row>
    <row r="57" spans="2:5" ht="15.75" customHeight="1">
      <c r="B57" s="9">
        <v>50</v>
      </c>
      <c r="C57" s="6" t="s">
        <v>76</v>
      </c>
      <c r="D57" s="10">
        <v>60000</v>
      </c>
      <c r="E57" s="18"/>
    </row>
    <row r="58" spans="2:5" ht="15.75" customHeight="1">
      <c r="B58" s="9">
        <v>51</v>
      </c>
      <c r="C58" s="6" t="s">
        <v>77</v>
      </c>
      <c r="D58" s="10">
        <v>15240</v>
      </c>
      <c r="E58" s="18"/>
    </row>
    <row r="59" spans="2:5" ht="15.75" customHeight="1">
      <c r="B59" s="9">
        <v>52</v>
      </c>
      <c r="C59" s="6" t="s">
        <v>78</v>
      </c>
      <c r="D59" s="10">
        <v>33000</v>
      </c>
      <c r="E59" s="18"/>
    </row>
    <row r="60" spans="2:5" ht="15.75" customHeight="1">
      <c r="B60" s="9">
        <v>53</v>
      </c>
      <c r="C60" s="6" t="s">
        <v>79</v>
      </c>
      <c r="D60" s="10">
        <v>14000</v>
      </c>
      <c r="E60" s="18"/>
    </row>
    <row r="61" spans="2:5" ht="15.75" customHeight="1">
      <c r="B61" s="9">
        <v>54</v>
      </c>
      <c r="C61" s="6" t="s">
        <v>80</v>
      </c>
      <c r="D61" s="10">
        <v>5800</v>
      </c>
      <c r="E61" s="18"/>
    </row>
    <row r="62" spans="2:5" ht="15.75" customHeight="1">
      <c r="B62" s="9">
        <v>55</v>
      </c>
      <c r="C62" s="6" t="s">
        <v>81</v>
      </c>
      <c r="D62" s="10">
        <v>7025</v>
      </c>
      <c r="E62" s="18" t="s">
        <v>82</v>
      </c>
    </row>
    <row r="63" spans="2:5" ht="15.75" customHeight="1">
      <c r="B63" s="9">
        <v>56</v>
      </c>
      <c r="C63" s="6" t="s">
        <v>83</v>
      </c>
      <c r="D63" s="10">
        <v>90000</v>
      </c>
      <c r="E63" s="18" t="s">
        <v>84</v>
      </c>
    </row>
    <row r="64" spans="2:5" ht="15.75" customHeight="1">
      <c r="B64" s="9">
        <v>57</v>
      </c>
      <c r="C64" s="6" t="s">
        <v>85</v>
      </c>
      <c r="D64" s="10">
        <v>250</v>
      </c>
      <c r="E64" s="18"/>
    </row>
    <row r="65" spans="2:5" ht="15.75" customHeight="1">
      <c r="B65" s="9">
        <v>58</v>
      </c>
      <c r="C65" s="6" t="s">
        <v>86</v>
      </c>
      <c r="D65" s="10">
        <v>680</v>
      </c>
      <c r="E65" s="18"/>
    </row>
    <row r="66" spans="2:5" ht="15.75" customHeight="1">
      <c r="B66" s="9">
        <v>59</v>
      </c>
      <c r="C66" s="6" t="s">
        <v>87</v>
      </c>
      <c r="D66" s="10">
        <v>1200</v>
      </c>
      <c r="E66" s="18"/>
    </row>
    <row r="67" spans="2:5" ht="15.75" customHeight="1">
      <c r="B67" s="9">
        <v>60</v>
      </c>
      <c r="C67" s="6" t="s">
        <v>88</v>
      </c>
      <c r="D67" s="10">
        <v>1000</v>
      </c>
      <c r="E67" s="18"/>
    </row>
    <row r="68" spans="2:5" ht="15.75" customHeight="1">
      <c r="B68" s="9">
        <v>61</v>
      </c>
      <c r="C68" s="6" t="s">
        <v>86</v>
      </c>
      <c r="D68" s="10">
        <v>680</v>
      </c>
      <c r="E68" s="18"/>
    </row>
    <row r="69" spans="2:5" ht="15.75" customHeight="1">
      <c r="B69" s="9">
        <v>62</v>
      </c>
      <c r="C69" s="6" t="s">
        <v>89</v>
      </c>
      <c r="D69" s="10">
        <v>850</v>
      </c>
      <c r="E69" s="18"/>
    </row>
    <row r="70" spans="2:5" ht="15.75" customHeight="1">
      <c r="B70" s="9">
        <v>63</v>
      </c>
      <c r="C70" s="6" t="s">
        <v>90</v>
      </c>
      <c r="D70" s="10">
        <v>2100</v>
      </c>
      <c r="E70" s="18"/>
    </row>
    <row r="71" spans="2:5" ht="15.75" customHeight="1">
      <c r="B71" s="9">
        <v>64</v>
      </c>
      <c r="C71" s="6" t="s">
        <v>91</v>
      </c>
      <c r="D71" s="10">
        <v>300</v>
      </c>
      <c r="E71" s="18"/>
    </row>
    <row r="72" spans="2:5" ht="15.75" customHeight="1">
      <c r="B72" s="9">
        <v>65</v>
      </c>
      <c r="C72" s="6" t="s">
        <v>92</v>
      </c>
      <c r="D72" s="10">
        <v>250</v>
      </c>
      <c r="E72" s="18"/>
    </row>
    <row r="73" spans="2:5" ht="15.75" customHeight="1">
      <c r="B73" s="9">
        <v>66</v>
      </c>
      <c r="C73" s="6" t="s">
        <v>93</v>
      </c>
      <c r="D73" s="10">
        <v>350</v>
      </c>
      <c r="E73" s="18"/>
    </row>
    <row r="74" spans="2:5" ht="15.75" customHeight="1">
      <c r="B74" s="9">
        <v>67</v>
      </c>
      <c r="C74" s="6" t="s">
        <v>94</v>
      </c>
      <c r="D74" s="10">
        <v>6634</v>
      </c>
      <c r="E74" s="18"/>
    </row>
    <row r="75" spans="2:5" ht="15.75" customHeight="1">
      <c r="B75" s="9">
        <v>68</v>
      </c>
      <c r="C75" s="6" t="s">
        <v>95</v>
      </c>
      <c r="D75" s="10">
        <v>4420</v>
      </c>
      <c r="E75" s="18"/>
    </row>
    <row r="76" spans="2:5" ht="15.75" customHeight="1">
      <c r="B76" s="9">
        <v>69</v>
      </c>
      <c r="C76" s="6" t="s">
        <v>96</v>
      </c>
      <c r="D76" s="10">
        <v>560</v>
      </c>
      <c r="E76" s="18"/>
    </row>
    <row r="77" spans="2:5" ht="15.75" customHeight="1">
      <c r="B77" s="9">
        <v>70</v>
      </c>
      <c r="C77" s="6" t="s">
        <v>97</v>
      </c>
      <c r="D77" s="10">
        <v>150</v>
      </c>
      <c r="E77" s="18"/>
    </row>
    <row r="78" spans="2:5" ht="15.75" customHeight="1">
      <c r="B78" s="9">
        <v>71</v>
      </c>
      <c r="C78" s="6" t="s">
        <v>74</v>
      </c>
      <c r="D78" s="10">
        <v>100</v>
      </c>
      <c r="E78" s="18"/>
    </row>
    <row r="79" spans="2:5" ht="15.75" customHeight="1">
      <c r="B79" s="9">
        <v>72</v>
      </c>
      <c r="C79" s="21" t="s">
        <v>98</v>
      </c>
      <c r="D79" s="22">
        <f>35000+45000+15000</f>
        <v>95000</v>
      </c>
      <c r="E79" s="23" t="s">
        <v>99</v>
      </c>
    </row>
    <row r="80" spans="2:5" ht="15.75" customHeight="1">
      <c r="B80" s="9">
        <v>73</v>
      </c>
      <c r="C80" s="6" t="s">
        <v>100</v>
      </c>
      <c r="D80" s="10">
        <f>180000+180000</f>
        <v>360000</v>
      </c>
      <c r="E80" s="18" t="s">
        <v>101</v>
      </c>
    </row>
    <row r="81" spans="2:5" ht="15.75" customHeight="1">
      <c r="B81" s="9">
        <v>74</v>
      </c>
      <c r="C81" s="6" t="s">
        <v>102</v>
      </c>
      <c r="D81" s="10">
        <v>60000</v>
      </c>
      <c r="E81" s="18"/>
    </row>
    <row r="82" spans="2:5" ht="15.75" customHeight="1">
      <c r="B82" s="9">
        <v>75</v>
      </c>
      <c r="C82" s="24" t="s">
        <v>103</v>
      </c>
      <c r="D82" s="25">
        <v>-35000</v>
      </c>
      <c r="E82" s="26" t="s">
        <v>104</v>
      </c>
    </row>
    <row r="83" spans="2:5" ht="15.75" customHeight="1">
      <c r="B83" s="9">
        <v>76</v>
      </c>
      <c r="C83" s="24" t="s">
        <v>105</v>
      </c>
      <c r="D83" s="25">
        <v>-40000</v>
      </c>
      <c r="E83" s="26"/>
    </row>
    <row r="84" spans="2:5" ht="15.75" customHeight="1">
      <c r="B84" s="9">
        <v>77</v>
      </c>
      <c r="C84" s="6" t="s">
        <v>106</v>
      </c>
      <c r="D84" s="10">
        <f>13000+30000+27000</f>
        <v>70000</v>
      </c>
      <c r="E84" s="18"/>
    </row>
    <row r="85" spans="2:5" ht="15.75" customHeight="1">
      <c r="B85" s="9">
        <v>78</v>
      </c>
      <c r="C85" s="6" t="s">
        <v>107</v>
      </c>
      <c r="D85" s="10">
        <f>6300+500</f>
        <v>6800</v>
      </c>
      <c r="E85" s="18"/>
    </row>
    <row r="86" spans="2:5" ht="15.75" customHeight="1">
      <c r="B86" s="9">
        <v>79</v>
      </c>
      <c r="C86" s="6" t="s">
        <v>108</v>
      </c>
      <c r="D86" s="10">
        <v>6000</v>
      </c>
      <c r="E86" s="18"/>
    </row>
    <row r="87" spans="2:5" ht="15.75" customHeight="1">
      <c r="B87" s="9">
        <v>80</v>
      </c>
      <c r="C87" s="6" t="s">
        <v>109</v>
      </c>
      <c r="D87" s="10">
        <v>225000</v>
      </c>
      <c r="E87" s="18"/>
    </row>
    <row r="88" spans="2:5" ht="15.75" customHeight="1">
      <c r="B88" s="9">
        <v>81</v>
      </c>
      <c r="C88" s="6" t="s">
        <v>110</v>
      </c>
      <c r="D88" s="10">
        <v>20000</v>
      </c>
      <c r="E88" s="18"/>
    </row>
    <row r="89" spans="2:5" ht="15.75" customHeight="1">
      <c r="B89" s="9">
        <v>82</v>
      </c>
      <c r="C89" s="6" t="s">
        <v>111</v>
      </c>
      <c r="D89" s="10">
        <v>90000</v>
      </c>
      <c r="E89" s="18"/>
    </row>
    <row r="90" spans="2:5" ht="15.75" customHeight="1">
      <c r="B90" s="9">
        <v>83</v>
      </c>
      <c r="C90" s="6" t="s">
        <v>112</v>
      </c>
      <c r="D90" s="10">
        <v>75000</v>
      </c>
      <c r="E90" s="18"/>
    </row>
    <row r="91" spans="2:5" ht="15.75" customHeight="1">
      <c r="B91" s="9">
        <v>84</v>
      </c>
      <c r="C91" s="6" t="s">
        <v>113</v>
      </c>
      <c r="D91" s="10">
        <v>169500</v>
      </c>
      <c r="E91" s="18"/>
    </row>
    <row r="92" spans="2:5" ht="15.75" customHeight="1">
      <c r="B92" s="9">
        <v>85</v>
      </c>
      <c r="C92" s="6" t="s">
        <v>114</v>
      </c>
      <c r="D92" s="10">
        <v>13000</v>
      </c>
      <c r="E92" s="18"/>
    </row>
    <row r="93" spans="2:5" ht="15.75" customHeight="1">
      <c r="B93" s="9">
        <v>86</v>
      </c>
      <c r="C93" s="6" t="s">
        <v>115</v>
      </c>
      <c r="D93" s="10">
        <v>35800</v>
      </c>
      <c r="E93" s="18"/>
    </row>
    <row r="94" spans="2:5" ht="15.75" customHeight="1">
      <c r="B94" s="9">
        <v>87</v>
      </c>
      <c r="C94" s="6" t="s">
        <v>113</v>
      </c>
      <c r="D94" s="10">
        <v>169500</v>
      </c>
      <c r="E94" s="18"/>
    </row>
    <row r="95" spans="2:5" ht="15.75" customHeight="1">
      <c r="B95" s="9">
        <v>88</v>
      </c>
      <c r="C95" s="6"/>
      <c r="D95" s="10"/>
      <c r="E95" s="18"/>
    </row>
    <row r="96" spans="2:5" ht="15.75" customHeight="1">
      <c r="B96" s="9">
        <v>89</v>
      </c>
      <c r="C96" s="6"/>
      <c r="D96" s="10"/>
      <c r="E96" s="18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E5"/>
    <mergeCell ref="G5:H5"/>
    <mergeCell ref="B6:E6"/>
  </mergeCells>
  <pageMargins left="0.7" right="0.7" top="0.75" bottom="0.75" header="0" footer="0"/>
  <pageSetup scale="84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K1001"/>
  <sheetViews>
    <sheetView workbookViewId="0"/>
  </sheetViews>
  <sheetFormatPr defaultColWidth="14.42578125" defaultRowHeight="15" customHeight="1"/>
  <cols>
    <col min="1" max="2" width="8.7109375" customWidth="1"/>
    <col min="3" max="3" width="10.7109375" customWidth="1"/>
    <col min="4" max="4" width="43.28515625" customWidth="1"/>
    <col min="5" max="5" width="17.5703125" customWidth="1"/>
    <col min="6" max="6" width="22.7109375" customWidth="1"/>
    <col min="7" max="7" width="43.42578125" customWidth="1"/>
    <col min="8" max="8" width="2.7109375" customWidth="1"/>
    <col min="9" max="9" width="13.7109375" customWidth="1"/>
    <col min="10" max="10" width="14.85546875" customWidth="1"/>
    <col min="11" max="11" width="9.7109375" customWidth="1"/>
    <col min="12" max="26" width="8.7109375" customWidth="1"/>
  </cols>
  <sheetData>
    <row r="4" spans="2:10">
      <c r="B4" s="431" t="s">
        <v>11</v>
      </c>
      <c r="C4" s="432"/>
      <c r="D4" s="432"/>
      <c r="E4" s="432"/>
      <c r="F4" s="432"/>
      <c r="G4" s="433"/>
    </row>
    <row r="5" spans="2:10" ht="28.5" customHeight="1">
      <c r="B5" s="434"/>
      <c r="C5" s="435"/>
      <c r="D5" s="435"/>
      <c r="E5" s="435"/>
      <c r="F5" s="435"/>
      <c r="G5" s="436"/>
      <c r="I5" s="442" t="s">
        <v>12</v>
      </c>
      <c r="J5" s="438"/>
    </row>
    <row r="6" spans="2:10" ht="28.5" customHeight="1">
      <c r="B6" s="439" t="s">
        <v>116</v>
      </c>
      <c r="C6" s="440"/>
      <c r="D6" s="440"/>
      <c r="E6" s="440"/>
      <c r="F6" s="440"/>
      <c r="G6" s="441"/>
      <c r="I6" s="3" t="s">
        <v>117</v>
      </c>
      <c r="J6" s="2">
        <f ca="1">SUMIF(E8:F68,"Office",F8:F68)</f>
        <v>216474</v>
      </c>
    </row>
    <row r="7" spans="2:10" ht="21.75" customHeight="1">
      <c r="B7" s="112" t="s">
        <v>15</v>
      </c>
      <c r="C7" s="112" t="s">
        <v>118</v>
      </c>
      <c r="D7" s="112" t="s">
        <v>16</v>
      </c>
      <c r="E7" s="112" t="s">
        <v>119</v>
      </c>
      <c r="F7" s="112" t="s">
        <v>17</v>
      </c>
      <c r="G7" s="112" t="s">
        <v>18</v>
      </c>
      <c r="I7" s="3" t="s">
        <v>120</v>
      </c>
      <c r="J7" s="2">
        <f ca="1">SUMIF(E8:F68,"Home",F8:F68)</f>
        <v>348346</v>
      </c>
    </row>
    <row r="8" spans="2:10" ht="15.75">
      <c r="B8" s="5">
        <v>1</v>
      </c>
      <c r="C8" s="27"/>
      <c r="D8" s="28" t="s">
        <v>121</v>
      </c>
      <c r="E8" s="29" t="s">
        <v>122</v>
      </c>
      <c r="F8" s="30">
        <v>60000</v>
      </c>
      <c r="G8" s="31"/>
      <c r="I8" s="3" t="s">
        <v>123</v>
      </c>
      <c r="J8" s="2">
        <f ca="1">SUM(J6:J7)</f>
        <v>564820</v>
      </c>
    </row>
    <row r="9" spans="2:10" ht="15.75">
      <c r="B9" s="9">
        <v>2</v>
      </c>
      <c r="C9" s="32"/>
      <c r="D9" s="28" t="s">
        <v>124</v>
      </c>
      <c r="E9" s="33" t="s">
        <v>122</v>
      </c>
      <c r="F9" s="34">
        <v>7113</v>
      </c>
      <c r="G9" s="35"/>
    </row>
    <row r="10" spans="2:10" ht="15.75">
      <c r="B10" s="9">
        <v>3</v>
      </c>
      <c r="C10" s="32"/>
      <c r="D10" s="28" t="s">
        <v>125</v>
      </c>
      <c r="E10" s="33" t="s">
        <v>122</v>
      </c>
      <c r="F10" s="34">
        <v>2593</v>
      </c>
      <c r="G10" s="35"/>
    </row>
    <row r="11" spans="2:10" ht="15.75">
      <c r="B11" s="9">
        <v>4</v>
      </c>
      <c r="C11" s="32"/>
      <c r="D11" s="28" t="s">
        <v>126</v>
      </c>
      <c r="E11" s="33" t="s">
        <v>122</v>
      </c>
      <c r="F11" s="34">
        <v>3500</v>
      </c>
      <c r="G11" s="35"/>
      <c r="I11" s="12"/>
      <c r="J11" s="13"/>
    </row>
    <row r="12" spans="2:10" ht="15.75">
      <c r="B12" s="9">
        <v>5</v>
      </c>
      <c r="C12" s="32"/>
      <c r="D12" s="28" t="s">
        <v>127</v>
      </c>
      <c r="E12" s="33" t="s">
        <v>128</v>
      </c>
      <c r="F12" s="34">
        <v>52000</v>
      </c>
      <c r="G12" s="10"/>
      <c r="I12" s="12"/>
      <c r="J12" s="13"/>
    </row>
    <row r="13" spans="2:10" ht="15.75">
      <c r="B13" s="9">
        <v>6</v>
      </c>
      <c r="C13" s="32"/>
      <c r="D13" s="28" t="s">
        <v>129</v>
      </c>
      <c r="E13" s="33" t="s">
        <v>128</v>
      </c>
      <c r="F13" s="34">
        <v>0</v>
      </c>
      <c r="G13" s="10"/>
      <c r="I13" s="12"/>
      <c r="J13" s="13"/>
    </row>
    <row r="14" spans="2:10" ht="15.75">
      <c r="B14" s="9">
        <v>7</v>
      </c>
      <c r="C14" s="32"/>
      <c r="D14" s="28" t="s">
        <v>130</v>
      </c>
      <c r="E14" s="33" t="s">
        <v>128</v>
      </c>
      <c r="F14" s="34">
        <v>1750</v>
      </c>
      <c r="G14" s="10"/>
    </row>
    <row r="15" spans="2:10" ht="15.75">
      <c r="B15" s="9">
        <v>8</v>
      </c>
      <c r="C15" s="32"/>
      <c r="D15" s="28" t="s">
        <v>131</v>
      </c>
      <c r="E15" s="33" t="s">
        <v>122</v>
      </c>
      <c r="F15" s="34">
        <v>28200</v>
      </c>
      <c r="G15" s="10"/>
    </row>
    <row r="16" spans="2:10" ht="15.75">
      <c r="B16" s="9">
        <v>9</v>
      </c>
      <c r="C16" s="32"/>
      <c r="D16" s="28" t="s">
        <v>132</v>
      </c>
      <c r="E16" s="33" t="s">
        <v>128</v>
      </c>
      <c r="F16" s="34">
        <f>125000+92250</f>
        <v>217250</v>
      </c>
      <c r="G16" s="10"/>
    </row>
    <row r="17" spans="2:11" ht="15.75">
      <c r="B17" s="9">
        <v>10</v>
      </c>
      <c r="C17" s="32"/>
      <c r="D17" s="28" t="s">
        <v>133</v>
      </c>
      <c r="E17" s="33" t="s">
        <v>128</v>
      </c>
      <c r="F17" s="34">
        <v>8171</v>
      </c>
      <c r="G17" s="10"/>
      <c r="K17" s="14"/>
    </row>
    <row r="18" spans="2:11" ht="15.75">
      <c r="B18" s="9">
        <v>11</v>
      </c>
      <c r="C18" s="32"/>
      <c r="D18" s="28" t="s">
        <v>133</v>
      </c>
      <c r="E18" s="33" t="s">
        <v>122</v>
      </c>
      <c r="F18" s="34">
        <v>14548</v>
      </c>
      <c r="G18" s="10"/>
      <c r="K18" s="14"/>
    </row>
    <row r="19" spans="2:11" ht="15.75">
      <c r="B19" s="9">
        <v>12</v>
      </c>
      <c r="C19" s="32"/>
      <c r="D19" s="28" t="s">
        <v>134</v>
      </c>
      <c r="E19" s="33" t="s">
        <v>122</v>
      </c>
      <c r="F19" s="34">
        <v>9300</v>
      </c>
      <c r="G19" s="10"/>
    </row>
    <row r="20" spans="2:11" ht="15.75">
      <c r="B20" s="9">
        <v>13</v>
      </c>
      <c r="C20" s="32"/>
      <c r="D20" s="28" t="s">
        <v>135</v>
      </c>
      <c r="E20" s="33" t="s">
        <v>122</v>
      </c>
      <c r="F20" s="34">
        <v>8955</v>
      </c>
      <c r="G20" s="10"/>
    </row>
    <row r="21" spans="2:11" ht="15.75" customHeight="1">
      <c r="B21" s="9">
        <v>14</v>
      </c>
      <c r="C21" s="32"/>
      <c r="D21" s="28" t="s">
        <v>136</v>
      </c>
      <c r="E21" s="33" t="s">
        <v>122</v>
      </c>
      <c r="F21" s="34">
        <v>6000</v>
      </c>
      <c r="G21" s="10"/>
    </row>
    <row r="22" spans="2:11" ht="15.75" customHeight="1">
      <c r="B22" s="9">
        <v>15</v>
      </c>
      <c r="C22" s="32"/>
      <c r="D22" s="28" t="s">
        <v>137</v>
      </c>
      <c r="E22" s="33" t="s">
        <v>122</v>
      </c>
      <c r="F22" s="34">
        <v>1120</v>
      </c>
      <c r="G22" s="10" t="s">
        <v>138</v>
      </c>
    </row>
    <row r="23" spans="2:11" ht="15.75" customHeight="1">
      <c r="B23" s="9">
        <v>16</v>
      </c>
      <c r="C23" s="32"/>
      <c r="D23" s="28" t="s">
        <v>139</v>
      </c>
      <c r="E23" s="33" t="s">
        <v>122</v>
      </c>
      <c r="F23" s="34">
        <v>4420</v>
      </c>
      <c r="G23" s="10"/>
    </row>
    <row r="24" spans="2:11" ht="15.75" customHeight="1">
      <c r="B24" s="9">
        <v>17</v>
      </c>
      <c r="C24" s="32"/>
      <c r="D24" s="28" t="s">
        <v>140</v>
      </c>
      <c r="E24" s="33" t="s">
        <v>122</v>
      </c>
      <c r="F24" s="34">
        <v>1480</v>
      </c>
      <c r="G24" s="10"/>
    </row>
    <row r="25" spans="2:11" ht="15.75" customHeight="1">
      <c r="B25" s="9">
        <v>18</v>
      </c>
      <c r="C25" s="32"/>
      <c r="D25" s="28" t="s">
        <v>141</v>
      </c>
      <c r="E25" s="33" t="s">
        <v>122</v>
      </c>
      <c r="F25" s="34">
        <v>2100</v>
      </c>
      <c r="G25" s="10"/>
    </row>
    <row r="26" spans="2:11" ht="15.75" customHeight="1">
      <c r="B26" s="9">
        <v>19</v>
      </c>
      <c r="C26" s="32"/>
      <c r="D26" s="28" t="s">
        <v>142</v>
      </c>
      <c r="E26" s="33" t="s">
        <v>122</v>
      </c>
      <c r="F26" s="34">
        <v>350</v>
      </c>
      <c r="G26" s="10"/>
    </row>
    <row r="27" spans="2:11" ht="15.75" customHeight="1">
      <c r="B27" s="9">
        <v>20</v>
      </c>
      <c r="C27" s="32"/>
      <c r="D27" s="28" t="s">
        <v>143</v>
      </c>
      <c r="E27" s="33" t="s">
        <v>122</v>
      </c>
      <c r="F27" s="34">
        <v>1500</v>
      </c>
      <c r="G27" s="10"/>
    </row>
    <row r="28" spans="2:11" ht="15.75" customHeight="1">
      <c r="B28" s="9">
        <v>21</v>
      </c>
      <c r="C28" s="32"/>
      <c r="D28" s="28" t="s">
        <v>144</v>
      </c>
      <c r="E28" s="33" t="s">
        <v>122</v>
      </c>
      <c r="F28" s="34">
        <v>840</v>
      </c>
      <c r="G28" s="10"/>
    </row>
    <row r="29" spans="2:11" ht="15.75" customHeight="1">
      <c r="B29" s="9">
        <v>22</v>
      </c>
      <c r="C29" s="32"/>
      <c r="D29" s="28" t="s">
        <v>145</v>
      </c>
      <c r="E29" s="33" t="s">
        <v>122</v>
      </c>
      <c r="F29" s="34">
        <v>1000</v>
      </c>
      <c r="G29" s="10"/>
    </row>
    <row r="30" spans="2:11" ht="15.75" customHeight="1">
      <c r="B30" s="9">
        <v>23</v>
      </c>
      <c r="C30" s="32"/>
      <c r="D30" s="28" t="s">
        <v>146</v>
      </c>
      <c r="E30" s="33" t="s">
        <v>122</v>
      </c>
      <c r="F30" s="34">
        <v>420</v>
      </c>
      <c r="G30" s="31"/>
    </row>
    <row r="31" spans="2:11" ht="15.75" customHeight="1">
      <c r="B31" s="9">
        <v>24</v>
      </c>
      <c r="C31" s="32"/>
      <c r="D31" s="28" t="s">
        <v>147</v>
      </c>
      <c r="E31" s="33" t="s">
        <v>122</v>
      </c>
      <c r="F31" s="34">
        <v>420</v>
      </c>
      <c r="G31" s="10"/>
    </row>
    <row r="32" spans="2:11" ht="15.75" customHeight="1">
      <c r="B32" s="9">
        <v>25</v>
      </c>
      <c r="C32" s="32"/>
      <c r="D32" s="28" t="s">
        <v>148</v>
      </c>
      <c r="E32" s="33" t="s">
        <v>122</v>
      </c>
      <c r="F32" s="34">
        <v>145</v>
      </c>
      <c r="G32" s="36"/>
    </row>
    <row r="33" spans="2:7" ht="15.75" customHeight="1">
      <c r="B33" s="9">
        <v>26</v>
      </c>
      <c r="C33" s="32"/>
      <c r="D33" s="28" t="s">
        <v>147</v>
      </c>
      <c r="E33" s="33" t="s">
        <v>122</v>
      </c>
      <c r="F33" s="34">
        <v>360</v>
      </c>
      <c r="G33" s="10" t="s">
        <v>149</v>
      </c>
    </row>
    <row r="34" spans="2:7" ht="15.75" customHeight="1">
      <c r="B34" s="9">
        <v>27</v>
      </c>
      <c r="C34" s="32"/>
      <c r="D34" s="28" t="s">
        <v>150</v>
      </c>
      <c r="E34" s="33" t="s">
        <v>128</v>
      </c>
      <c r="F34" s="34">
        <v>40850</v>
      </c>
      <c r="G34" s="10"/>
    </row>
    <row r="35" spans="2:7" ht="15.75" customHeight="1">
      <c r="B35" s="9">
        <v>28</v>
      </c>
      <c r="C35" s="32"/>
      <c r="D35" s="28" t="s">
        <v>151</v>
      </c>
      <c r="E35" s="33" t="s">
        <v>128</v>
      </c>
      <c r="F35" s="34">
        <v>1300</v>
      </c>
      <c r="G35" s="10"/>
    </row>
    <row r="36" spans="2:7" ht="15.75" customHeight="1">
      <c r="B36" s="9">
        <v>29</v>
      </c>
      <c r="C36" s="32"/>
      <c r="D36" s="28" t="s">
        <v>152</v>
      </c>
      <c r="E36" s="33" t="s">
        <v>128</v>
      </c>
      <c r="F36" s="34">
        <v>8500</v>
      </c>
      <c r="G36" s="10"/>
    </row>
    <row r="37" spans="2:7" ht="15.75" customHeight="1">
      <c r="B37" s="9"/>
      <c r="C37" s="32">
        <v>44604</v>
      </c>
      <c r="D37" s="28" t="s">
        <v>153</v>
      </c>
      <c r="E37" s="33" t="s">
        <v>122</v>
      </c>
      <c r="F37" s="34">
        <v>17650</v>
      </c>
      <c r="G37" s="10"/>
    </row>
    <row r="38" spans="2:7" ht="15.75" customHeight="1">
      <c r="B38" s="9">
        <v>30</v>
      </c>
      <c r="C38" s="32">
        <v>44617</v>
      </c>
      <c r="D38" s="28" t="s">
        <v>154</v>
      </c>
      <c r="E38" s="33" t="s">
        <v>122</v>
      </c>
      <c r="F38" s="34">
        <f>60*14</f>
        <v>840</v>
      </c>
      <c r="G38" s="10" t="s">
        <v>155</v>
      </c>
    </row>
    <row r="39" spans="2:7" ht="15.75" customHeight="1">
      <c r="B39" s="9">
        <v>31</v>
      </c>
      <c r="C39" s="32">
        <v>44617</v>
      </c>
      <c r="D39" s="28" t="s">
        <v>156</v>
      </c>
      <c r="E39" s="33" t="s">
        <v>122</v>
      </c>
      <c r="F39" s="34">
        <v>250</v>
      </c>
      <c r="G39" s="10" t="s">
        <v>157</v>
      </c>
    </row>
    <row r="40" spans="2:7" ht="15.75" customHeight="1">
      <c r="B40" s="9">
        <v>32</v>
      </c>
      <c r="C40" s="32">
        <v>44617</v>
      </c>
      <c r="D40" s="28" t="s">
        <v>158</v>
      </c>
      <c r="E40" s="33" t="s">
        <v>122</v>
      </c>
      <c r="F40" s="34">
        <v>300</v>
      </c>
      <c r="G40" s="10" t="s">
        <v>157</v>
      </c>
    </row>
    <row r="41" spans="2:7" ht="15.75" customHeight="1">
      <c r="B41" s="9">
        <v>33</v>
      </c>
      <c r="C41" s="32"/>
      <c r="D41" s="28" t="s">
        <v>159</v>
      </c>
      <c r="E41" s="33" t="s">
        <v>122</v>
      </c>
      <c r="F41" s="34">
        <v>3390</v>
      </c>
      <c r="G41" s="10"/>
    </row>
    <row r="42" spans="2:7" ht="15.75" customHeight="1">
      <c r="B42" s="9">
        <v>34</v>
      </c>
      <c r="C42" s="32"/>
      <c r="D42" s="28" t="s">
        <v>160</v>
      </c>
      <c r="E42" s="33" t="s">
        <v>128</v>
      </c>
      <c r="F42" s="34">
        <v>5500</v>
      </c>
      <c r="G42" s="10"/>
    </row>
    <row r="43" spans="2:7" ht="15.75" customHeight="1">
      <c r="B43" s="9">
        <v>35</v>
      </c>
      <c r="C43" s="32"/>
      <c r="D43" s="28" t="s">
        <v>161</v>
      </c>
      <c r="E43" s="33" t="s">
        <v>122</v>
      </c>
      <c r="F43" s="34">
        <v>15600</v>
      </c>
      <c r="G43" s="37" t="s">
        <v>162</v>
      </c>
    </row>
    <row r="44" spans="2:7" ht="15.75" customHeight="1">
      <c r="B44" s="9">
        <v>36</v>
      </c>
      <c r="C44" s="32"/>
      <c r="D44" s="28" t="s">
        <v>163</v>
      </c>
      <c r="E44" s="33" t="s">
        <v>122</v>
      </c>
      <c r="F44" s="34">
        <v>7800</v>
      </c>
      <c r="G44" s="37" t="s">
        <v>162</v>
      </c>
    </row>
    <row r="45" spans="2:7" ht="15.75" customHeight="1">
      <c r="B45" s="9">
        <v>37</v>
      </c>
      <c r="C45" s="32"/>
      <c r="D45" s="28" t="s">
        <v>164</v>
      </c>
      <c r="E45" s="33" t="s">
        <v>122</v>
      </c>
      <c r="F45" s="34">
        <v>14800</v>
      </c>
      <c r="G45" s="37"/>
    </row>
    <row r="46" spans="2:7" ht="15.75" customHeight="1">
      <c r="B46" s="9">
        <v>38</v>
      </c>
      <c r="C46" s="32">
        <v>44620</v>
      </c>
      <c r="D46" s="28" t="s">
        <v>165</v>
      </c>
      <c r="E46" s="33" t="s">
        <v>122</v>
      </c>
      <c r="F46" s="34">
        <v>800</v>
      </c>
      <c r="G46" s="37" t="s">
        <v>166</v>
      </c>
    </row>
    <row r="47" spans="2:7" ht="15.75" customHeight="1">
      <c r="B47" s="9">
        <v>39</v>
      </c>
      <c r="C47" s="32">
        <v>44620</v>
      </c>
      <c r="D47" s="28" t="s">
        <v>167</v>
      </c>
      <c r="E47" s="33" t="s">
        <v>128</v>
      </c>
      <c r="F47" s="34">
        <v>13025</v>
      </c>
      <c r="G47" s="37"/>
    </row>
    <row r="48" spans="2:7" ht="15.75" customHeight="1">
      <c r="B48" s="9">
        <v>40</v>
      </c>
      <c r="C48" s="32"/>
      <c r="D48" s="28" t="s">
        <v>168</v>
      </c>
      <c r="E48" s="33" t="s">
        <v>122</v>
      </c>
      <c r="F48" s="34">
        <v>680</v>
      </c>
      <c r="G48" s="37"/>
    </row>
    <row r="49" spans="2:7" ht="15.75" customHeight="1">
      <c r="B49" s="9">
        <v>41</v>
      </c>
      <c r="C49" s="32"/>
      <c r="D49" s="28"/>
      <c r="E49" s="33"/>
      <c r="F49" s="34"/>
      <c r="G49" s="37"/>
    </row>
    <row r="50" spans="2:7" ht="15.75" customHeight="1">
      <c r="B50" s="9">
        <v>42</v>
      </c>
      <c r="C50" s="32"/>
      <c r="D50" s="28"/>
      <c r="E50" s="33"/>
      <c r="F50" s="34"/>
      <c r="G50" s="37"/>
    </row>
    <row r="51" spans="2:7" ht="15.75" customHeight="1">
      <c r="B51" s="9">
        <v>43</v>
      </c>
      <c r="C51" s="32"/>
      <c r="D51" s="28"/>
      <c r="E51" s="33"/>
      <c r="F51" s="34"/>
      <c r="G51" s="37"/>
    </row>
    <row r="52" spans="2:7" ht="15.75" customHeight="1">
      <c r="B52" s="9">
        <v>44</v>
      </c>
      <c r="C52" s="32"/>
      <c r="D52" s="38"/>
      <c r="E52" s="39"/>
      <c r="F52" s="40"/>
      <c r="G52" s="41"/>
    </row>
    <row r="53" spans="2:7" ht="15.75" customHeight="1">
      <c r="B53" s="9">
        <v>45</v>
      </c>
      <c r="C53" s="32"/>
      <c r="D53" s="28"/>
      <c r="E53" s="33"/>
      <c r="F53" s="34"/>
      <c r="G53" s="37"/>
    </row>
    <row r="54" spans="2:7" ht="15.75" customHeight="1">
      <c r="B54" s="9">
        <v>46</v>
      </c>
      <c r="C54" s="32"/>
      <c r="D54" s="28"/>
      <c r="E54" s="33"/>
      <c r="F54" s="34"/>
      <c r="G54" s="37"/>
    </row>
    <row r="55" spans="2:7" ht="15.75" customHeight="1">
      <c r="B55" s="9">
        <v>47</v>
      </c>
      <c r="C55" s="32"/>
      <c r="D55" s="28"/>
      <c r="E55" s="33"/>
      <c r="F55" s="42"/>
      <c r="G55" s="37"/>
    </row>
    <row r="56" spans="2:7" ht="15.75" customHeight="1">
      <c r="B56" s="9">
        <v>48</v>
      </c>
      <c r="C56" s="32"/>
      <c r="D56" s="28"/>
      <c r="E56" s="33"/>
      <c r="F56" s="34"/>
      <c r="G56" s="37"/>
    </row>
    <row r="57" spans="2:7" ht="15.75" customHeight="1">
      <c r="B57" s="9">
        <v>49</v>
      </c>
      <c r="C57" s="32"/>
      <c r="D57" s="28"/>
      <c r="E57" s="33"/>
      <c r="F57" s="34"/>
      <c r="G57" s="37"/>
    </row>
    <row r="58" spans="2:7" ht="15.75" customHeight="1">
      <c r="B58" s="9">
        <v>50</v>
      </c>
      <c r="C58" s="32"/>
      <c r="D58" s="28"/>
      <c r="E58" s="33"/>
      <c r="F58" s="34"/>
      <c r="G58" s="37"/>
    </row>
    <row r="59" spans="2:7" ht="15.75" customHeight="1">
      <c r="B59" s="9">
        <v>51</v>
      </c>
      <c r="C59" s="32"/>
      <c r="D59" s="28"/>
      <c r="E59" s="33"/>
      <c r="F59" s="34"/>
      <c r="G59" s="37"/>
    </row>
    <row r="60" spans="2:7" ht="15.75" customHeight="1">
      <c r="B60" s="9">
        <v>52</v>
      </c>
      <c r="C60" s="32"/>
      <c r="D60" s="28"/>
      <c r="E60" s="33"/>
      <c r="F60" s="34"/>
      <c r="G60" s="37"/>
    </row>
    <row r="61" spans="2:7" ht="15.75" customHeight="1">
      <c r="B61" s="9">
        <v>53</v>
      </c>
      <c r="C61" s="32"/>
      <c r="D61" s="28"/>
      <c r="E61" s="33"/>
      <c r="F61" s="34"/>
      <c r="G61" s="37"/>
    </row>
    <row r="62" spans="2:7" ht="15.75" customHeight="1">
      <c r="B62" s="9">
        <v>54</v>
      </c>
      <c r="C62" s="32"/>
      <c r="D62" s="28"/>
      <c r="E62" s="33"/>
      <c r="F62" s="34"/>
      <c r="G62" s="37"/>
    </row>
    <row r="63" spans="2:7" ht="15.75" customHeight="1">
      <c r="B63" s="9">
        <v>55</v>
      </c>
      <c r="C63" s="32"/>
      <c r="D63" s="28"/>
      <c r="E63" s="33"/>
      <c r="F63" s="34"/>
      <c r="G63" s="37"/>
    </row>
    <row r="64" spans="2:7" ht="15.75" customHeight="1">
      <c r="B64" s="9">
        <v>56</v>
      </c>
      <c r="C64" s="32"/>
      <c r="D64" s="43"/>
      <c r="E64" s="44"/>
      <c r="F64" s="34"/>
      <c r="G64" s="45"/>
    </row>
    <row r="65" spans="2:7" ht="15.75" customHeight="1">
      <c r="B65" s="9">
        <v>57</v>
      </c>
      <c r="C65" s="32"/>
      <c r="D65" s="43"/>
      <c r="E65" s="44"/>
      <c r="F65" s="34"/>
      <c r="G65" s="45"/>
    </row>
    <row r="66" spans="2:7" ht="15.75" customHeight="1">
      <c r="B66" s="9">
        <v>58</v>
      </c>
      <c r="C66" s="32"/>
      <c r="D66" s="43"/>
      <c r="E66" s="44"/>
      <c r="F66" s="34"/>
      <c r="G66" s="45"/>
    </row>
    <row r="67" spans="2:7" ht="15.75" customHeight="1">
      <c r="B67" s="9">
        <v>59</v>
      </c>
      <c r="C67" s="32"/>
      <c r="D67" s="43"/>
      <c r="E67" s="44"/>
      <c r="F67" s="34"/>
      <c r="G67" s="46"/>
    </row>
    <row r="68" spans="2:7" ht="15.75" customHeight="1">
      <c r="B68" s="9">
        <v>60</v>
      </c>
      <c r="C68" s="32"/>
      <c r="D68" s="43"/>
      <c r="E68" s="44"/>
      <c r="F68" s="34"/>
      <c r="G68" s="46"/>
    </row>
    <row r="69" spans="2:7" ht="15.75" customHeight="1"/>
    <row r="70" spans="2:7" ht="15.75" customHeight="1"/>
    <row r="71" spans="2:7" ht="15.75" customHeight="1"/>
    <row r="72" spans="2:7" ht="15.75" customHeight="1"/>
    <row r="73" spans="2:7" ht="15.75" customHeight="1"/>
    <row r="74" spans="2:7" ht="15.75" customHeight="1"/>
    <row r="75" spans="2:7" ht="15.75" customHeight="1"/>
    <row r="76" spans="2:7" ht="15.75" customHeight="1"/>
    <row r="77" spans="2:7" ht="15.75" customHeight="1"/>
    <row r="78" spans="2:7" ht="15.75" customHeight="1"/>
    <row r="79" spans="2:7" ht="15.75" customHeight="1"/>
    <row r="80" spans="2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B4:G5"/>
    <mergeCell ref="I5:J5"/>
    <mergeCell ref="B6:G6"/>
  </mergeCells>
  <pageMargins left="0.7" right="0.7" top="0.75" bottom="0.75" header="0" footer="0"/>
  <pageSetup scale="8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Q1004"/>
  <sheetViews>
    <sheetView workbookViewId="0">
      <pane ySplit="8" topLeftCell="A9" activePane="bottomLeft" state="frozen"/>
      <selection pane="bottomLeft" activeCell="B10" sqref="B10"/>
    </sheetView>
  </sheetViews>
  <sheetFormatPr defaultColWidth="14.42578125" defaultRowHeight="15" customHeight="1"/>
  <cols>
    <col min="1" max="2" width="8.7109375" customWidth="1"/>
    <col min="3" max="3" width="11.42578125" customWidth="1"/>
    <col min="4" max="4" width="37" customWidth="1"/>
    <col min="5" max="9" width="17.5703125" customWidth="1"/>
    <col min="10" max="10" width="22.7109375" customWidth="1"/>
    <col min="11" max="11" width="43.42578125" customWidth="1"/>
    <col min="12" max="12" width="2.7109375" customWidth="1"/>
    <col min="13" max="13" width="13.7109375" customWidth="1"/>
    <col min="14" max="14" width="14.85546875" customWidth="1"/>
    <col min="15" max="15" width="9.7109375" customWidth="1"/>
    <col min="16" max="16" width="26.42578125" customWidth="1"/>
    <col min="17" max="17" width="14.85546875" customWidth="1"/>
    <col min="18" max="26" width="8.7109375" customWidth="1"/>
  </cols>
  <sheetData>
    <row r="2" spans="2:17" ht="24.75" customHeight="1">
      <c r="M2" s="442" t="s">
        <v>12</v>
      </c>
      <c r="N2" s="438"/>
      <c r="P2" s="442" t="s">
        <v>169</v>
      </c>
      <c r="Q2" s="438"/>
    </row>
    <row r="3" spans="2:17" ht="24" customHeight="1">
      <c r="M3" s="3" t="s">
        <v>117</v>
      </c>
      <c r="N3" s="47">
        <f ca="1">SUMIF(E9:J71,"Office",J9:J71)</f>
        <v>918841</v>
      </c>
      <c r="P3" s="3" t="s">
        <v>170</v>
      </c>
      <c r="Q3" s="47">
        <f ca="1">SUMIF('Credit Sheet'!D5:E54,"March",'Credit Sheet'!E5:E54)</f>
        <v>0</v>
      </c>
    </row>
    <row r="4" spans="2:17" ht="25.5" customHeight="1">
      <c r="M4" s="3" t="s">
        <v>120</v>
      </c>
      <c r="N4" s="47">
        <f ca="1">SUMIF(E9:J71,"Home",J9:J71)</f>
        <v>84822</v>
      </c>
      <c r="P4" s="3" t="s">
        <v>171</v>
      </c>
      <c r="Q4" s="47">
        <f ca="1">SUMIF(E9:J71,"Parcel",J9:J71)</f>
        <v>5640</v>
      </c>
    </row>
    <row r="5" spans="2:17" ht="22.5" customHeight="1">
      <c r="B5" s="443" t="s">
        <v>11</v>
      </c>
      <c r="C5" s="432"/>
      <c r="D5" s="432"/>
      <c r="E5" s="432"/>
      <c r="F5" s="432"/>
      <c r="G5" s="432"/>
      <c r="H5" s="432"/>
      <c r="I5" s="432"/>
      <c r="J5" s="432"/>
      <c r="K5" s="433"/>
      <c r="M5" s="3" t="s">
        <v>172</v>
      </c>
      <c r="N5" s="47">
        <f ca="1">SUMIF(E9:J71,"Parcel",J9:J71)</f>
        <v>5640</v>
      </c>
      <c r="P5" s="3" t="s">
        <v>173</v>
      </c>
      <c r="Q5" s="48">
        <f ca="1">Q3-Q4</f>
        <v>-5640</v>
      </c>
    </row>
    <row r="6" spans="2:17" ht="28.5" customHeight="1">
      <c r="B6" s="434"/>
      <c r="C6" s="435"/>
      <c r="D6" s="435"/>
      <c r="E6" s="435"/>
      <c r="F6" s="435"/>
      <c r="G6" s="435"/>
      <c r="H6" s="435"/>
      <c r="I6" s="435"/>
      <c r="J6" s="435"/>
      <c r="K6" s="436"/>
      <c r="M6" s="3" t="s">
        <v>123</v>
      </c>
      <c r="N6" s="48">
        <f ca="1">SUM(N3:N5)</f>
        <v>1009303</v>
      </c>
    </row>
    <row r="7" spans="2:17" ht="28.5" customHeight="1">
      <c r="B7" s="444" t="s">
        <v>174</v>
      </c>
      <c r="C7" s="440"/>
      <c r="D7" s="440"/>
      <c r="E7" s="440"/>
      <c r="F7" s="440"/>
      <c r="G7" s="440"/>
      <c r="H7" s="440"/>
      <c r="I7" s="440"/>
      <c r="J7" s="440"/>
      <c r="K7" s="441"/>
    </row>
    <row r="8" spans="2:17" ht="21.75" customHeight="1">
      <c r="B8" s="113" t="s">
        <v>15</v>
      </c>
      <c r="C8" s="113" t="s">
        <v>118</v>
      </c>
      <c r="D8" s="113" t="s">
        <v>16</v>
      </c>
      <c r="E8" s="113" t="s">
        <v>119</v>
      </c>
      <c r="F8" s="113" t="s">
        <v>175</v>
      </c>
      <c r="G8" s="113" t="s">
        <v>176</v>
      </c>
      <c r="H8" s="113" t="s">
        <v>177</v>
      </c>
      <c r="I8" s="113" t="s">
        <v>178</v>
      </c>
      <c r="J8" s="113" t="s">
        <v>17</v>
      </c>
      <c r="K8" s="113" t="s">
        <v>18</v>
      </c>
    </row>
    <row r="9" spans="2:17" ht="15.75">
      <c r="B9" s="5">
        <v>1</v>
      </c>
      <c r="C9" s="27"/>
      <c r="D9" s="28" t="s">
        <v>121</v>
      </c>
      <c r="E9" s="29" t="s">
        <v>122</v>
      </c>
      <c r="F9" s="29"/>
      <c r="G9" s="29"/>
      <c r="H9" s="49"/>
      <c r="I9" s="29" t="s">
        <v>179</v>
      </c>
      <c r="J9" s="114">
        <v>60000</v>
      </c>
      <c r="K9" s="31"/>
    </row>
    <row r="10" spans="2:17" ht="15.75">
      <c r="B10" s="9">
        <v>2</v>
      </c>
      <c r="C10" s="32"/>
      <c r="D10" s="28" t="s">
        <v>124</v>
      </c>
      <c r="E10" s="33" t="s">
        <v>122</v>
      </c>
      <c r="F10" s="33"/>
      <c r="G10" s="33"/>
      <c r="H10" s="50"/>
      <c r="I10" s="33" t="s">
        <v>179</v>
      </c>
      <c r="J10" s="34">
        <v>23264</v>
      </c>
      <c r="K10" s="35"/>
    </row>
    <row r="11" spans="2:17" ht="15.75">
      <c r="B11" s="9">
        <v>3</v>
      </c>
      <c r="C11" s="32"/>
      <c r="D11" s="28" t="s">
        <v>180</v>
      </c>
      <c r="E11" s="33" t="s">
        <v>128</v>
      </c>
      <c r="F11" s="33"/>
      <c r="G11" s="33"/>
      <c r="H11" s="50"/>
      <c r="I11" s="33" t="s">
        <v>179</v>
      </c>
      <c r="J11" s="34">
        <v>10000</v>
      </c>
      <c r="K11" s="35"/>
    </row>
    <row r="12" spans="2:17" ht="15.75">
      <c r="B12" s="9">
        <v>4</v>
      </c>
      <c r="C12" s="32"/>
      <c r="D12" s="28" t="s">
        <v>126</v>
      </c>
      <c r="E12" s="33" t="s">
        <v>122</v>
      </c>
      <c r="F12" s="33"/>
      <c r="G12" s="33"/>
      <c r="H12" s="50"/>
      <c r="I12" s="33" t="s">
        <v>179</v>
      </c>
      <c r="J12" s="34">
        <v>3500</v>
      </c>
      <c r="K12" s="35"/>
      <c r="M12" s="12"/>
      <c r="N12" s="13"/>
    </row>
    <row r="13" spans="2:17" ht="15.75">
      <c r="B13" s="9">
        <v>5</v>
      </c>
      <c r="C13" s="32"/>
      <c r="D13" s="28" t="s">
        <v>127</v>
      </c>
      <c r="E13" s="33" t="s">
        <v>128</v>
      </c>
      <c r="F13" s="33"/>
      <c r="G13" s="33"/>
      <c r="H13" s="50"/>
      <c r="I13" s="33" t="s">
        <v>179</v>
      </c>
      <c r="J13" s="34">
        <v>52000</v>
      </c>
      <c r="K13" s="10"/>
      <c r="M13" s="12"/>
      <c r="N13" s="13"/>
    </row>
    <row r="14" spans="2:17" ht="15.75">
      <c r="B14" s="9">
        <v>6</v>
      </c>
      <c r="C14" s="32"/>
      <c r="D14" s="28" t="s">
        <v>129</v>
      </c>
      <c r="E14" s="33" t="s">
        <v>128</v>
      </c>
      <c r="F14" s="33"/>
      <c r="G14" s="33"/>
      <c r="H14" s="50"/>
      <c r="I14" s="33" t="s">
        <v>179</v>
      </c>
      <c r="J14" s="34">
        <v>7542</v>
      </c>
      <c r="K14" s="10"/>
      <c r="M14" s="12"/>
      <c r="N14" s="13"/>
    </row>
    <row r="15" spans="2:17" ht="15.75">
      <c r="B15" s="9">
        <v>7</v>
      </c>
      <c r="C15" s="32"/>
      <c r="D15" s="28" t="s">
        <v>130</v>
      </c>
      <c r="E15" s="33" t="s">
        <v>128</v>
      </c>
      <c r="F15" s="33"/>
      <c r="G15" s="33"/>
      <c r="H15" s="50"/>
      <c r="I15" s="33" t="s">
        <v>179</v>
      </c>
      <c r="J15" s="34">
        <v>4210</v>
      </c>
      <c r="K15" s="10"/>
    </row>
    <row r="16" spans="2:17" ht="15.75">
      <c r="B16" s="9">
        <v>8</v>
      </c>
      <c r="C16" s="32"/>
      <c r="D16" s="28" t="s">
        <v>181</v>
      </c>
      <c r="E16" s="33" t="s">
        <v>122</v>
      </c>
      <c r="F16" s="33"/>
      <c r="G16" s="33"/>
      <c r="H16" s="50"/>
      <c r="I16" s="33" t="s">
        <v>179</v>
      </c>
      <c r="J16" s="34">
        <f>16000+6500+5700</f>
        <v>28200</v>
      </c>
      <c r="K16" s="10" t="s">
        <v>182</v>
      </c>
    </row>
    <row r="17" spans="2:15" ht="15.75">
      <c r="B17" s="9">
        <v>9</v>
      </c>
      <c r="C17" s="32"/>
      <c r="D17" s="28" t="s">
        <v>132</v>
      </c>
      <c r="E17" s="33" t="s">
        <v>128</v>
      </c>
      <c r="F17" s="33"/>
      <c r="G17" s="33"/>
      <c r="H17" s="50"/>
      <c r="I17" s="33" t="s">
        <v>183</v>
      </c>
      <c r="J17" s="34">
        <v>0</v>
      </c>
      <c r="K17" s="10"/>
    </row>
    <row r="18" spans="2:15" ht="15.75">
      <c r="B18" s="9">
        <v>10</v>
      </c>
      <c r="C18" s="32"/>
      <c r="D18" s="28" t="s">
        <v>133</v>
      </c>
      <c r="E18" s="33" t="s">
        <v>128</v>
      </c>
      <c r="F18" s="33"/>
      <c r="G18" s="33"/>
      <c r="H18" s="50"/>
      <c r="I18" s="33" t="s">
        <v>179</v>
      </c>
      <c r="J18" s="34">
        <v>8171</v>
      </c>
      <c r="K18" s="10"/>
      <c r="O18" s="14"/>
    </row>
    <row r="19" spans="2:15" ht="15.75">
      <c r="B19" s="9">
        <v>11</v>
      </c>
      <c r="C19" s="32"/>
      <c r="D19" s="28" t="s">
        <v>133</v>
      </c>
      <c r="E19" s="33" t="s">
        <v>122</v>
      </c>
      <c r="F19" s="33"/>
      <c r="G19" s="33"/>
      <c r="H19" s="50"/>
      <c r="I19" s="33" t="s">
        <v>179</v>
      </c>
      <c r="J19" s="34">
        <v>13855</v>
      </c>
      <c r="K19" s="10"/>
      <c r="O19" s="14"/>
    </row>
    <row r="20" spans="2:15" ht="15.75">
      <c r="B20" s="9">
        <v>12</v>
      </c>
      <c r="C20" s="32"/>
      <c r="D20" s="28" t="s">
        <v>134</v>
      </c>
      <c r="E20" s="33" t="s">
        <v>122</v>
      </c>
      <c r="F20" s="33"/>
      <c r="G20" s="33"/>
      <c r="H20" s="50"/>
      <c r="I20" s="33" t="s">
        <v>179</v>
      </c>
      <c r="J20" s="34">
        <v>9300</v>
      </c>
      <c r="K20" s="10"/>
    </row>
    <row r="21" spans="2:15" ht="15.75" customHeight="1">
      <c r="B21" s="9">
        <v>13</v>
      </c>
      <c r="C21" s="32"/>
      <c r="D21" s="28" t="s">
        <v>135</v>
      </c>
      <c r="E21" s="33" t="s">
        <v>122</v>
      </c>
      <c r="F21" s="33"/>
      <c r="G21" s="33"/>
      <c r="H21" s="50"/>
      <c r="I21" s="33" t="s">
        <v>179</v>
      </c>
      <c r="J21" s="34">
        <v>8955</v>
      </c>
      <c r="K21" s="10"/>
    </row>
    <row r="22" spans="2:15" ht="15.75" customHeight="1">
      <c r="B22" s="9">
        <v>14</v>
      </c>
      <c r="C22" s="32"/>
      <c r="D22" s="28" t="s">
        <v>136</v>
      </c>
      <c r="E22" s="33" t="s">
        <v>122</v>
      </c>
      <c r="F22" s="33"/>
      <c r="G22" s="33"/>
      <c r="H22" s="50"/>
      <c r="I22" s="33" t="s">
        <v>179</v>
      </c>
      <c r="J22" s="34">
        <v>6300</v>
      </c>
      <c r="K22" s="10"/>
    </row>
    <row r="23" spans="2:15" ht="15.75" customHeight="1">
      <c r="B23" s="9">
        <v>15</v>
      </c>
      <c r="C23" s="32">
        <v>44621</v>
      </c>
      <c r="D23" s="28" t="s">
        <v>184</v>
      </c>
      <c r="E23" s="33" t="s">
        <v>122</v>
      </c>
      <c r="F23" s="33"/>
      <c r="G23" s="33">
        <v>8</v>
      </c>
      <c r="H23" s="50">
        <f t="shared" ref="H23:H24" si="0">J23/G23</f>
        <v>212.5</v>
      </c>
      <c r="I23" s="51"/>
      <c r="J23" s="34">
        <v>1700</v>
      </c>
      <c r="K23" s="10"/>
    </row>
    <row r="24" spans="2:15" ht="15.75" customHeight="1">
      <c r="B24" s="9">
        <v>16</v>
      </c>
      <c r="C24" s="32">
        <v>44621</v>
      </c>
      <c r="D24" s="28" t="s">
        <v>185</v>
      </c>
      <c r="E24" s="33" t="s">
        <v>122</v>
      </c>
      <c r="F24" s="33" t="s">
        <v>186</v>
      </c>
      <c r="G24" s="33">
        <v>6</v>
      </c>
      <c r="H24" s="50">
        <f t="shared" si="0"/>
        <v>280</v>
      </c>
      <c r="I24" s="51"/>
      <c r="J24" s="34">
        <v>1680</v>
      </c>
      <c r="K24" s="10"/>
    </row>
    <row r="25" spans="2:15" ht="15.75" customHeight="1">
      <c r="B25" s="9">
        <v>17</v>
      </c>
      <c r="C25" s="32">
        <v>44622</v>
      </c>
      <c r="D25" s="28" t="s">
        <v>187</v>
      </c>
      <c r="E25" s="33" t="s">
        <v>122</v>
      </c>
      <c r="F25" s="33"/>
      <c r="G25" s="33"/>
      <c r="H25" s="50"/>
      <c r="I25" s="33"/>
      <c r="J25" s="34">
        <v>2850</v>
      </c>
      <c r="K25" s="10"/>
    </row>
    <row r="26" spans="2:15" ht="15.75" customHeight="1">
      <c r="B26" s="9">
        <v>18</v>
      </c>
      <c r="C26" s="32">
        <v>44623</v>
      </c>
      <c r="D26" s="28" t="s">
        <v>188</v>
      </c>
      <c r="E26" s="33" t="s">
        <v>122</v>
      </c>
      <c r="F26" s="33" t="s">
        <v>189</v>
      </c>
      <c r="G26" s="33"/>
      <c r="H26" s="50"/>
      <c r="I26" s="33"/>
      <c r="J26" s="34">
        <f>12479-2899</f>
        <v>9580</v>
      </c>
      <c r="K26" s="10"/>
    </row>
    <row r="27" spans="2:15" ht="15.75" customHeight="1">
      <c r="B27" s="9">
        <v>19</v>
      </c>
      <c r="C27" s="32">
        <v>44623</v>
      </c>
      <c r="D27" s="28" t="s">
        <v>190</v>
      </c>
      <c r="E27" s="33" t="s">
        <v>128</v>
      </c>
      <c r="F27" s="33"/>
      <c r="G27" s="33"/>
      <c r="H27" s="50"/>
      <c r="I27" s="33"/>
      <c r="J27" s="34">
        <v>2899</v>
      </c>
      <c r="K27" s="10"/>
    </row>
    <row r="28" spans="2:15" ht="15.75" customHeight="1">
      <c r="B28" s="9"/>
      <c r="C28" s="32">
        <v>44624</v>
      </c>
      <c r="D28" s="28" t="s">
        <v>191</v>
      </c>
      <c r="E28" s="33" t="s">
        <v>122</v>
      </c>
      <c r="F28" s="33">
        <v>5350</v>
      </c>
      <c r="G28" s="33">
        <v>3</v>
      </c>
      <c r="H28" s="50">
        <v>30000</v>
      </c>
      <c r="I28" s="33"/>
      <c r="J28" s="34">
        <f>H28*G28</f>
        <v>90000</v>
      </c>
      <c r="K28" s="10"/>
    </row>
    <row r="29" spans="2:15" ht="15.75" customHeight="1">
      <c r="B29" s="9">
        <v>20</v>
      </c>
      <c r="C29" s="32">
        <v>44625</v>
      </c>
      <c r="D29" s="28" t="s">
        <v>192</v>
      </c>
      <c r="E29" s="33" t="s">
        <v>122</v>
      </c>
      <c r="F29" s="33"/>
      <c r="G29" s="33"/>
      <c r="H29" s="50"/>
      <c r="I29" s="33"/>
      <c r="J29" s="34">
        <v>70000</v>
      </c>
      <c r="K29" s="10"/>
    </row>
    <row r="30" spans="2:15" ht="15.75" customHeight="1">
      <c r="B30" s="9">
        <v>21</v>
      </c>
      <c r="C30" s="32">
        <v>44627</v>
      </c>
      <c r="D30" s="28" t="s">
        <v>193</v>
      </c>
      <c r="E30" s="33" t="s">
        <v>122</v>
      </c>
      <c r="F30" s="33">
        <v>96</v>
      </c>
      <c r="G30" s="33">
        <v>30</v>
      </c>
      <c r="H30" s="50">
        <v>420</v>
      </c>
      <c r="I30" s="33"/>
      <c r="J30" s="34">
        <f t="shared" ref="J30:J31" si="1">G30*H30</f>
        <v>12600</v>
      </c>
      <c r="K30" s="10"/>
    </row>
    <row r="31" spans="2:15" ht="15.75" customHeight="1">
      <c r="B31" s="9">
        <v>22</v>
      </c>
      <c r="C31" s="32">
        <v>44627</v>
      </c>
      <c r="D31" s="28" t="s">
        <v>194</v>
      </c>
      <c r="E31" s="33" t="s">
        <v>122</v>
      </c>
      <c r="F31" s="33"/>
      <c r="G31" s="33">
        <v>4</v>
      </c>
      <c r="H31" s="50">
        <v>400</v>
      </c>
      <c r="I31" s="33"/>
      <c r="J31" s="34">
        <f t="shared" si="1"/>
        <v>1600</v>
      </c>
      <c r="K31" s="31" t="s">
        <v>195</v>
      </c>
    </row>
    <row r="32" spans="2:15" ht="15.75" customHeight="1">
      <c r="B32" s="9">
        <v>23</v>
      </c>
      <c r="C32" s="32"/>
      <c r="D32" s="28" t="s">
        <v>185</v>
      </c>
      <c r="E32" s="33" t="s">
        <v>122</v>
      </c>
      <c r="F32" s="33"/>
      <c r="G32" s="33">
        <v>3</v>
      </c>
      <c r="H32" s="50">
        <v>280</v>
      </c>
      <c r="I32" s="33"/>
      <c r="J32" s="34">
        <v>840</v>
      </c>
      <c r="K32" s="10"/>
    </row>
    <row r="33" spans="2:11" ht="15.75" customHeight="1">
      <c r="B33" s="9">
        <v>24</v>
      </c>
      <c r="C33" s="32"/>
      <c r="D33" s="28" t="s">
        <v>196</v>
      </c>
      <c r="E33" s="33" t="s">
        <v>122</v>
      </c>
      <c r="F33" s="33"/>
      <c r="G33" s="33"/>
      <c r="H33" s="50"/>
      <c r="I33" s="33"/>
      <c r="J33" s="34">
        <v>190</v>
      </c>
      <c r="K33" s="20"/>
    </row>
    <row r="34" spans="2:11" ht="15.75" customHeight="1">
      <c r="B34" s="9">
        <v>25</v>
      </c>
      <c r="C34" s="32"/>
      <c r="D34" s="28" t="s">
        <v>197</v>
      </c>
      <c r="E34" s="33" t="s">
        <v>122</v>
      </c>
      <c r="F34" s="33"/>
      <c r="G34" s="33">
        <v>180</v>
      </c>
      <c r="H34" s="50">
        <f>J34/G34</f>
        <v>3</v>
      </c>
      <c r="I34" s="33"/>
      <c r="J34" s="34">
        <v>540</v>
      </c>
      <c r="K34" s="10"/>
    </row>
    <row r="35" spans="2:11" ht="15.75" customHeight="1">
      <c r="B35" s="9">
        <v>26</v>
      </c>
      <c r="C35" s="32">
        <v>44627</v>
      </c>
      <c r="D35" s="28" t="s">
        <v>198</v>
      </c>
      <c r="E35" s="33" t="s">
        <v>139</v>
      </c>
      <c r="F35" s="33"/>
      <c r="G35" s="33">
        <v>1</v>
      </c>
      <c r="H35" s="50"/>
      <c r="I35" s="33"/>
      <c r="J35" s="34">
        <v>5440</v>
      </c>
      <c r="K35" s="10"/>
    </row>
    <row r="36" spans="2:11" ht="15.75" customHeight="1">
      <c r="B36" s="9">
        <v>27</v>
      </c>
      <c r="C36" s="32">
        <v>44630</v>
      </c>
      <c r="D36" s="28" t="s">
        <v>139</v>
      </c>
      <c r="E36" s="33" t="s">
        <v>139</v>
      </c>
      <c r="F36" s="33"/>
      <c r="G36" s="33">
        <v>1</v>
      </c>
      <c r="H36" s="50"/>
      <c r="I36" s="33"/>
      <c r="J36" s="34">
        <v>200</v>
      </c>
      <c r="K36" s="10"/>
    </row>
    <row r="37" spans="2:11" ht="15.75" customHeight="1">
      <c r="B37" s="9"/>
      <c r="C37" s="32">
        <v>44630</v>
      </c>
      <c r="D37" s="28" t="s">
        <v>199</v>
      </c>
      <c r="E37" s="33" t="s">
        <v>122</v>
      </c>
      <c r="F37" s="33">
        <v>19253</v>
      </c>
      <c r="G37" s="33">
        <v>2</v>
      </c>
      <c r="H37" s="50">
        <v>33900</v>
      </c>
      <c r="I37" s="33"/>
      <c r="J37" s="34">
        <f t="shared" ref="J37:J38" si="2">G37*H37</f>
        <v>67800</v>
      </c>
      <c r="K37" s="10"/>
    </row>
    <row r="38" spans="2:11" ht="15.75" customHeight="1">
      <c r="B38" s="9"/>
      <c r="C38" s="32">
        <v>44631</v>
      </c>
      <c r="D38" s="28" t="s">
        <v>199</v>
      </c>
      <c r="E38" s="33" t="s">
        <v>122</v>
      </c>
      <c r="F38" s="33">
        <v>19254</v>
      </c>
      <c r="G38" s="33">
        <v>3</v>
      </c>
      <c r="H38" s="50">
        <v>33900</v>
      </c>
      <c r="I38" s="33"/>
      <c r="J38" s="34">
        <f t="shared" si="2"/>
        <v>101700</v>
      </c>
      <c r="K38" s="10"/>
    </row>
    <row r="39" spans="2:11" ht="15.75" customHeight="1">
      <c r="B39" s="9">
        <v>28</v>
      </c>
      <c r="C39" s="32">
        <v>44635</v>
      </c>
      <c r="D39" s="28" t="s">
        <v>115</v>
      </c>
      <c r="E39" s="33" t="s">
        <v>122</v>
      </c>
      <c r="F39" s="33">
        <v>789009</v>
      </c>
      <c r="G39" s="33"/>
      <c r="H39" s="50"/>
      <c r="I39" s="33"/>
      <c r="J39" s="34">
        <v>35800</v>
      </c>
      <c r="K39" s="10"/>
    </row>
    <row r="40" spans="2:11" ht="15.75" customHeight="1">
      <c r="B40" s="9">
        <v>29</v>
      </c>
      <c r="C40" s="32">
        <v>44636</v>
      </c>
      <c r="D40" s="28" t="s">
        <v>200</v>
      </c>
      <c r="E40" s="33" t="s">
        <v>122</v>
      </c>
      <c r="F40" s="33">
        <v>30</v>
      </c>
      <c r="G40" s="33">
        <v>90</v>
      </c>
      <c r="H40" s="50">
        <v>5</v>
      </c>
      <c r="I40" s="33"/>
      <c r="J40" s="34">
        <f t="shared" ref="J40:J41" si="3">G40*H40</f>
        <v>450</v>
      </c>
      <c r="K40" s="10"/>
    </row>
    <row r="41" spans="2:11" ht="15.75" customHeight="1">
      <c r="B41" s="9">
        <v>30</v>
      </c>
      <c r="C41" s="32">
        <v>44636</v>
      </c>
      <c r="D41" s="28" t="s">
        <v>201</v>
      </c>
      <c r="E41" s="33" t="s">
        <v>122</v>
      </c>
      <c r="F41" s="33">
        <v>58</v>
      </c>
      <c r="G41" s="33">
        <v>3</v>
      </c>
      <c r="H41" s="50">
        <v>120</v>
      </c>
      <c r="I41" s="33"/>
      <c r="J41" s="34">
        <f t="shared" si="3"/>
        <v>360</v>
      </c>
      <c r="K41" s="10"/>
    </row>
    <row r="42" spans="2:11" ht="15.75" customHeight="1">
      <c r="B42" s="9">
        <v>31</v>
      </c>
      <c r="C42" s="32">
        <v>44636</v>
      </c>
      <c r="D42" s="28" t="s">
        <v>202</v>
      </c>
      <c r="E42" s="33" t="s">
        <v>122</v>
      </c>
      <c r="F42" s="33"/>
      <c r="G42" s="33"/>
      <c r="H42" s="50"/>
      <c r="I42" s="33"/>
      <c r="J42" s="34">
        <v>120</v>
      </c>
      <c r="K42" s="10"/>
    </row>
    <row r="43" spans="2:11" ht="15.75" customHeight="1">
      <c r="B43" s="9">
        <v>32</v>
      </c>
      <c r="C43" s="32">
        <v>44637</v>
      </c>
      <c r="D43" s="28" t="s">
        <v>203</v>
      </c>
      <c r="E43" s="33" t="s">
        <v>122</v>
      </c>
      <c r="F43" s="33">
        <v>108485</v>
      </c>
      <c r="G43" s="33"/>
      <c r="H43" s="50"/>
      <c r="I43" s="33"/>
      <c r="J43" s="34">
        <v>486</v>
      </c>
      <c r="K43" s="10"/>
    </row>
    <row r="44" spans="2:11" ht="15.75" customHeight="1">
      <c r="B44" s="9">
        <v>33</v>
      </c>
      <c r="C44" s="32">
        <v>44641</v>
      </c>
      <c r="D44" s="28" t="s">
        <v>204</v>
      </c>
      <c r="E44" s="33" t="s">
        <v>122</v>
      </c>
      <c r="F44" s="33">
        <v>19273</v>
      </c>
      <c r="G44" s="33">
        <v>5</v>
      </c>
      <c r="H44" s="50">
        <v>33900</v>
      </c>
      <c r="I44" s="33"/>
      <c r="J44" s="34">
        <f>G44*H44</f>
        <v>169500</v>
      </c>
      <c r="K44" s="10"/>
    </row>
    <row r="45" spans="2:11" ht="15.75" customHeight="1">
      <c r="B45" s="9">
        <v>34</v>
      </c>
      <c r="C45" s="32">
        <v>44642</v>
      </c>
      <c r="D45" s="28" t="s">
        <v>205</v>
      </c>
      <c r="E45" s="33" t="s">
        <v>122</v>
      </c>
      <c r="F45" s="33">
        <v>74</v>
      </c>
      <c r="G45" s="33">
        <v>10</v>
      </c>
      <c r="H45" s="50">
        <v>500</v>
      </c>
      <c r="I45" s="33"/>
      <c r="J45" s="34">
        <f t="shared" ref="J45:J47" si="4">H45*G45</f>
        <v>5000</v>
      </c>
      <c r="K45" s="20"/>
    </row>
    <row r="46" spans="2:11" ht="15.75" customHeight="1">
      <c r="B46" s="9">
        <v>35</v>
      </c>
      <c r="C46" s="32">
        <v>44642</v>
      </c>
      <c r="D46" s="28" t="s">
        <v>191</v>
      </c>
      <c r="E46" s="33" t="s">
        <v>122</v>
      </c>
      <c r="F46" s="33">
        <v>5357</v>
      </c>
      <c r="G46" s="33">
        <v>3</v>
      </c>
      <c r="H46" s="50">
        <v>30000</v>
      </c>
      <c r="I46" s="33"/>
      <c r="J46" s="34">
        <f t="shared" si="4"/>
        <v>90000</v>
      </c>
      <c r="K46" s="20"/>
    </row>
    <row r="47" spans="2:11" ht="15.75" customHeight="1">
      <c r="B47" s="9"/>
      <c r="C47" s="32">
        <v>44645</v>
      </c>
      <c r="D47" s="28" t="s">
        <v>206</v>
      </c>
      <c r="E47" s="33" t="s">
        <v>122</v>
      </c>
      <c r="F47" s="33">
        <v>13103</v>
      </c>
      <c r="G47" s="33">
        <v>4</v>
      </c>
      <c r="H47" s="50">
        <f>851/4</f>
        <v>212.75</v>
      </c>
      <c r="I47" s="33"/>
      <c r="J47" s="34">
        <f t="shared" si="4"/>
        <v>851</v>
      </c>
      <c r="K47" s="20"/>
    </row>
    <row r="48" spans="2:11" ht="15.75" customHeight="1">
      <c r="B48" s="9">
        <v>36</v>
      </c>
      <c r="C48" s="32">
        <v>44648</v>
      </c>
      <c r="D48" s="28" t="s">
        <v>191</v>
      </c>
      <c r="E48" s="33" t="s">
        <v>122</v>
      </c>
      <c r="F48" s="33">
        <v>7713</v>
      </c>
      <c r="G48" s="33">
        <v>3</v>
      </c>
      <c r="H48" s="50">
        <v>24500</v>
      </c>
      <c r="I48" s="33"/>
      <c r="J48" s="34">
        <f t="shared" ref="J48:J49" si="5">G48*H48</f>
        <v>73500</v>
      </c>
      <c r="K48" s="20"/>
    </row>
    <row r="49" spans="2:11" ht="15.75" customHeight="1">
      <c r="B49" s="9">
        <v>37</v>
      </c>
      <c r="C49" s="32">
        <v>44648</v>
      </c>
      <c r="D49" s="28" t="s">
        <v>207</v>
      </c>
      <c r="E49" s="33" t="s">
        <v>122</v>
      </c>
      <c r="F49" s="33">
        <v>7713</v>
      </c>
      <c r="G49" s="33">
        <v>3</v>
      </c>
      <c r="H49" s="50">
        <v>6000</v>
      </c>
      <c r="I49" s="33"/>
      <c r="J49" s="34">
        <f t="shared" si="5"/>
        <v>18000</v>
      </c>
      <c r="K49" s="20"/>
    </row>
    <row r="50" spans="2:11" ht="15.75" customHeight="1">
      <c r="B50" s="9">
        <v>38</v>
      </c>
      <c r="C50" s="32">
        <v>44649</v>
      </c>
      <c r="D50" s="28" t="s">
        <v>185</v>
      </c>
      <c r="E50" s="33" t="s">
        <v>122</v>
      </c>
      <c r="F50" s="33"/>
      <c r="G50" s="33">
        <v>4</v>
      </c>
      <c r="H50" s="50">
        <f>J50/G50</f>
        <v>280</v>
      </c>
      <c r="I50" s="33"/>
      <c r="J50" s="34">
        <v>1120</v>
      </c>
      <c r="K50" s="20"/>
    </row>
    <row r="51" spans="2:11" ht="15.75" customHeight="1">
      <c r="B51" s="9">
        <v>39</v>
      </c>
      <c r="C51" s="32">
        <v>44649</v>
      </c>
      <c r="D51" s="28" t="s">
        <v>208</v>
      </c>
      <c r="E51" s="33" t="s">
        <v>122</v>
      </c>
      <c r="F51" s="33">
        <v>963</v>
      </c>
      <c r="G51" s="33">
        <v>4</v>
      </c>
      <c r="H51" s="50">
        <v>2300</v>
      </c>
      <c r="I51" s="33"/>
      <c r="J51" s="34">
        <f>G51*H51</f>
        <v>9200</v>
      </c>
      <c r="K51" s="20"/>
    </row>
    <row r="52" spans="2:11" ht="15.75" customHeight="1">
      <c r="B52" s="9">
        <v>40</v>
      </c>
      <c r="C52" s="32"/>
      <c r="D52" s="28"/>
      <c r="E52" s="33"/>
      <c r="F52" s="33"/>
      <c r="G52" s="33"/>
      <c r="H52" s="50"/>
      <c r="I52" s="33"/>
      <c r="J52" s="34"/>
      <c r="K52" s="20"/>
    </row>
    <row r="53" spans="2:11" ht="15.75" customHeight="1">
      <c r="B53" s="9">
        <v>41</v>
      </c>
      <c r="C53" s="32"/>
      <c r="D53" s="28"/>
      <c r="E53" s="33"/>
      <c r="F53" s="33"/>
      <c r="G53" s="33"/>
      <c r="H53" s="50"/>
      <c r="I53" s="33"/>
      <c r="J53" s="34"/>
      <c r="K53" s="20"/>
    </row>
    <row r="54" spans="2:11" ht="15.75" customHeight="1">
      <c r="B54" s="9">
        <v>42</v>
      </c>
      <c r="C54" s="32"/>
      <c r="D54" s="28"/>
      <c r="E54" s="33"/>
      <c r="F54" s="33"/>
      <c r="G54" s="33"/>
      <c r="H54" s="50"/>
      <c r="I54" s="33"/>
      <c r="J54" s="34"/>
      <c r="K54" s="20"/>
    </row>
    <row r="55" spans="2:11" ht="15.75" customHeight="1">
      <c r="B55" s="9">
        <v>43</v>
      </c>
      <c r="C55" s="32"/>
      <c r="D55" s="38"/>
      <c r="E55" s="39"/>
      <c r="F55" s="39"/>
      <c r="G55" s="39"/>
      <c r="H55" s="52"/>
      <c r="I55" s="39"/>
      <c r="J55" s="40"/>
      <c r="K55" s="53"/>
    </row>
    <row r="56" spans="2:11" ht="15.75" customHeight="1">
      <c r="B56" s="9">
        <v>44</v>
      </c>
      <c r="C56" s="32"/>
      <c r="D56" s="28"/>
      <c r="E56" s="33"/>
      <c r="F56" s="33"/>
      <c r="G56" s="33"/>
      <c r="H56" s="50"/>
      <c r="I56" s="33"/>
      <c r="J56" s="34"/>
      <c r="K56" s="20"/>
    </row>
    <row r="57" spans="2:11" ht="15.75" customHeight="1">
      <c r="B57" s="9">
        <v>45</v>
      </c>
      <c r="C57" s="32"/>
      <c r="D57" s="28"/>
      <c r="E57" s="33"/>
      <c r="F57" s="33"/>
      <c r="G57" s="33"/>
      <c r="H57" s="50"/>
      <c r="I57" s="33"/>
      <c r="J57" s="34"/>
      <c r="K57" s="20"/>
    </row>
    <row r="58" spans="2:11" ht="15.75" customHeight="1">
      <c r="B58" s="9">
        <v>46</v>
      </c>
      <c r="C58" s="32"/>
      <c r="D58" s="28"/>
      <c r="E58" s="33"/>
      <c r="F58" s="33"/>
      <c r="G58" s="33"/>
      <c r="H58" s="50"/>
      <c r="I58" s="33"/>
      <c r="J58" s="54"/>
      <c r="K58" s="20"/>
    </row>
    <row r="59" spans="2:11" ht="15.75" customHeight="1">
      <c r="B59" s="9">
        <v>47</v>
      </c>
      <c r="C59" s="32"/>
      <c r="D59" s="28"/>
      <c r="E59" s="33"/>
      <c r="F59" s="33"/>
      <c r="G59" s="33"/>
      <c r="H59" s="50"/>
      <c r="I59" s="33"/>
      <c r="J59" s="34"/>
      <c r="K59" s="20"/>
    </row>
    <row r="60" spans="2:11" ht="15.75" customHeight="1">
      <c r="B60" s="9">
        <v>48</v>
      </c>
      <c r="C60" s="32"/>
      <c r="D60" s="28"/>
      <c r="E60" s="33"/>
      <c r="F60" s="33"/>
      <c r="G60" s="33"/>
      <c r="H60" s="50"/>
      <c r="I60" s="33"/>
      <c r="J60" s="34"/>
      <c r="K60" s="20"/>
    </row>
    <row r="61" spans="2:11" ht="15.75" customHeight="1">
      <c r="B61" s="9">
        <v>49</v>
      </c>
      <c r="C61" s="32"/>
      <c r="D61" s="28"/>
      <c r="E61" s="33"/>
      <c r="F61" s="33"/>
      <c r="G61" s="33"/>
      <c r="H61" s="50"/>
      <c r="I61" s="33"/>
      <c r="J61" s="34"/>
      <c r="K61" s="20"/>
    </row>
    <row r="62" spans="2:11" ht="15.75" customHeight="1">
      <c r="B62" s="9">
        <v>50</v>
      </c>
      <c r="C62" s="32"/>
      <c r="D62" s="28"/>
      <c r="E62" s="33"/>
      <c r="F62" s="33"/>
      <c r="G62" s="33"/>
      <c r="H62" s="50"/>
      <c r="I62" s="33"/>
      <c r="J62" s="34"/>
      <c r="K62" s="20"/>
    </row>
    <row r="63" spans="2:11" ht="15.75" customHeight="1">
      <c r="B63" s="9">
        <v>51</v>
      </c>
      <c r="C63" s="32"/>
      <c r="D63" s="28"/>
      <c r="E63" s="33"/>
      <c r="F63" s="33"/>
      <c r="G63" s="33"/>
      <c r="H63" s="50"/>
      <c r="I63" s="33"/>
      <c r="J63" s="34"/>
      <c r="K63" s="20"/>
    </row>
    <row r="64" spans="2:11" ht="15.75" customHeight="1">
      <c r="B64" s="9">
        <v>52</v>
      </c>
      <c r="C64" s="32"/>
      <c r="D64" s="28"/>
      <c r="E64" s="33"/>
      <c r="F64" s="33"/>
      <c r="G64" s="33"/>
      <c r="H64" s="50"/>
      <c r="I64" s="33"/>
      <c r="J64" s="34"/>
      <c r="K64" s="20"/>
    </row>
    <row r="65" spans="2:11" ht="15.75" customHeight="1">
      <c r="B65" s="9">
        <v>53</v>
      </c>
      <c r="C65" s="32"/>
      <c r="D65" s="28"/>
      <c r="E65" s="33"/>
      <c r="F65" s="33"/>
      <c r="G65" s="33"/>
      <c r="H65" s="50"/>
      <c r="I65" s="33"/>
      <c r="J65" s="34"/>
      <c r="K65" s="20"/>
    </row>
    <row r="66" spans="2:11" ht="15.75" customHeight="1">
      <c r="B66" s="9">
        <v>54</v>
      </c>
      <c r="C66" s="32"/>
      <c r="D66" s="28"/>
      <c r="E66" s="33"/>
      <c r="F66" s="33"/>
      <c r="G66" s="33"/>
      <c r="H66" s="50"/>
      <c r="I66" s="33"/>
      <c r="J66" s="34"/>
      <c r="K66" s="20"/>
    </row>
    <row r="67" spans="2:11" ht="15.75" customHeight="1">
      <c r="B67" s="9">
        <v>55</v>
      </c>
      <c r="C67" s="32"/>
      <c r="D67" s="43"/>
      <c r="E67" s="44"/>
      <c r="F67" s="44"/>
      <c r="G67" s="44"/>
      <c r="H67" s="55"/>
      <c r="I67" s="44"/>
      <c r="J67" s="34"/>
      <c r="K67" s="18"/>
    </row>
    <row r="68" spans="2:11" ht="15.75" customHeight="1">
      <c r="B68" s="9">
        <v>56</v>
      </c>
      <c r="C68" s="32"/>
      <c r="D68" s="43"/>
      <c r="E68" s="44"/>
      <c r="F68" s="44"/>
      <c r="G68" s="44"/>
      <c r="H68" s="55"/>
      <c r="I68" s="44"/>
      <c r="J68" s="34"/>
      <c r="K68" s="18"/>
    </row>
    <row r="69" spans="2:11" ht="15.75" customHeight="1">
      <c r="B69" s="9">
        <v>57</v>
      </c>
      <c r="C69" s="32"/>
      <c r="D69" s="43"/>
      <c r="E69" s="44"/>
      <c r="F69" s="44"/>
      <c r="G69" s="44"/>
      <c r="H69" s="55"/>
      <c r="I69" s="44"/>
      <c r="J69" s="34"/>
      <c r="K69" s="18"/>
    </row>
    <row r="70" spans="2:11" ht="15.75" customHeight="1">
      <c r="B70" s="9">
        <v>58</v>
      </c>
      <c r="C70" s="32"/>
      <c r="D70" s="43"/>
      <c r="E70" s="44"/>
      <c r="F70" s="44"/>
      <c r="G70" s="44"/>
      <c r="H70" s="55"/>
      <c r="I70" s="44"/>
      <c r="J70" s="34"/>
      <c r="K70" s="18"/>
    </row>
    <row r="71" spans="2:11" ht="15.75" customHeight="1">
      <c r="B71" s="9">
        <v>59</v>
      </c>
      <c r="C71" s="32"/>
      <c r="D71" s="43"/>
      <c r="E71" s="44"/>
      <c r="F71" s="44"/>
      <c r="G71" s="44"/>
      <c r="H71" s="55"/>
      <c r="I71" s="44"/>
      <c r="J71" s="34"/>
      <c r="K71" s="18"/>
    </row>
    <row r="72" spans="2:11" ht="15.75" customHeight="1"/>
    <row r="73" spans="2:11" ht="15.75" customHeight="1"/>
    <row r="74" spans="2:11" ht="15.75" customHeight="1"/>
    <row r="75" spans="2:11" ht="15.75" customHeight="1"/>
    <row r="76" spans="2:11" ht="15.75" customHeight="1"/>
    <row r="77" spans="2:11" ht="15.75" customHeight="1"/>
    <row r="78" spans="2:11" ht="15.75" customHeight="1"/>
    <row r="79" spans="2:11" ht="15.75" customHeight="1"/>
    <row r="80" spans="2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4">
    <mergeCell ref="M2:N2"/>
    <mergeCell ref="P2:Q2"/>
    <mergeCell ref="B5:K6"/>
    <mergeCell ref="B7:K7"/>
  </mergeCells>
  <conditionalFormatting sqref="J9">
    <cfRule type="expression" dxfId="135" priority="1">
      <formula>$I$9="Unpaid"</formula>
    </cfRule>
    <cfRule type="expression" dxfId="134" priority="2">
      <formula>$I$9="Paid"</formula>
    </cfRule>
  </conditionalFormatting>
  <conditionalFormatting sqref="J10">
    <cfRule type="expression" dxfId="133" priority="3">
      <formula>$I$10="Unpaid"</formula>
    </cfRule>
    <cfRule type="expression" dxfId="132" priority="4">
      <formula>$I$10="Paid"</formula>
    </cfRule>
  </conditionalFormatting>
  <conditionalFormatting sqref="J11">
    <cfRule type="expression" dxfId="131" priority="5">
      <formula>$I$11="Unpaid"</formula>
    </cfRule>
    <cfRule type="expression" dxfId="130" priority="6">
      <formula>$I$11="Paid"</formula>
    </cfRule>
  </conditionalFormatting>
  <conditionalFormatting sqref="J12">
    <cfRule type="expression" dxfId="129" priority="7">
      <formula>$I$12="Unpaid"</formula>
    </cfRule>
    <cfRule type="expression" dxfId="128" priority="8">
      <formula>$I$12="Paid"</formula>
    </cfRule>
  </conditionalFormatting>
  <conditionalFormatting sqref="J13">
    <cfRule type="expression" dxfId="127" priority="9">
      <formula>$I$13="Unpaid"</formula>
    </cfRule>
    <cfRule type="expression" dxfId="126" priority="10">
      <formula>$I$13="Paid"</formula>
    </cfRule>
  </conditionalFormatting>
  <conditionalFormatting sqref="J14">
    <cfRule type="expression" dxfId="125" priority="11">
      <formula>$I$14="Unpaid"</formula>
    </cfRule>
    <cfRule type="expression" dxfId="124" priority="12">
      <formula>$I$14="Paid"</formula>
    </cfRule>
  </conditionalFormatting>
  <conditionalFormatting sqref="J15">
    <cfRule type="expression" dxfId="123" priority="13">
      <formula>$I$15="Unpaid"</formula>
    </cfRule>
    <cfRule type="expression" dxfId="122" priority="14">
      <formula>$I$15="Paid"</formula>
    </cfRule>
  </conditionalFormatting>
  <conditionalFormatting sqref="J16">
    <cfRule type="expression" dxfId="121" priority="15">
      <formula>$I$16="Unpaid"</formula>
    </cfRule>
    <cfRule type="expression" dxfId="120" priority="16">
      <formula>$I$16="Paid"</formula>
    </cfRule>
  </conditionalFormatting>
  <conditionalFormatting sqref="J17">
    <cfRule type="expression" dxfId="119" priority="17">
      <formula>$I$17="Unpaid"</formula>
    </cfRule>
    <cfRule type="expression" dxfId="118" priority="18">
      <formula>$I$17="Paid"</formula>
    </cfRule>
  </conditionalFormatting>
  <conditionalFormatting sqref="J18">
    <cfRule type="expression" dxfId="117" priority="19">
      <formula>$I$18="Unpaid"</formula>
    </cfRule>
    <cfRule type="expression" dxfId="116" priority="20">
      <formula>$I$18="Paid"</formula>
    </cfRule>
  </conditionalFormatting>
  <conditionalFormatting sqref="J19">
    <cfRule type="expression" dxfId="115" priority="21">
      <formula>$I$19="Unpaid"</formula>
    </cfRule>
    <cfRule type="expression" dxfId="114" priority="22">
      <formula>$I$19="Paid"</formula>
    </cfRule>
  </conditionalFormatting>
  <conditionalFormatting sqref="J20">
    <cfRule type="expression" dxfId="113" priority="23">
      <formula>$I$20="Unpaid"</formula>
    </cfRule>
    <cfRule type="expression" dxfId="112" priority="24">
      <formula>$I$20="Paid"</formula>
    </cfRule>
  </conditionalFormatting>
  <conditionalFormatting sqref="J21">
    <cfRule type="expression" dxfId="111" priority="25">
      <formula>$I$21="Unpaid"</formula>
    </cfRule>
    <cfRule type="expression" dxfId="110" priority="26">
      <formula>$I$21="Paid"</formula>
    </cfRule>
  </conditionalFormatting>
  <conditionalFormatting sqref="J22">
    <cfRule type="expression" dxfId="109" priority="27">
      <formula>$I$22="Unpaid"</formula>
    </cfRule>
    <cfRule type="expression" dxfId="108" priority="28">
      <formula>$I$22="Paid"</formula>
    </cfRule>
  </conditionalFormatting>
  <pageMargins left="0.7" right="0.7" top="0.75" bottom="0.75" header="0" footer="0"/>
  <pageSetup scale="84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8.7109375" customWidth="1"/>
    <col min="2" max="2" width="11.42578125" customWidth="1"/>
    <col min="3" max="3" width="37" customWidth="1"/>
    <col min="4" max="8" width="17.5703125" customWidth="1"/>
    <col min="9" max="9" width="22.7109375" customWidth="1"/>
    <col min="10" max="10" width="31.42578125" customWidth="1"/>
  </cols>
  <sheetData>
    <row r="1" spans="1:10" ht="22.5" customHeight="1">
      <c r="A1" s="445" t="s">
        <v>11</v>
      </c>
      <c r="B1" s="432"/>
      <c r="C1" s="432"/>
      <c r="D1" s="432"/>
      <c r="E1" s="432"/>
      <c r="F1" s="432"/>
      <c r="G1" s="432"/>
      <c r="H1" s="432"/>
      <c r="I1" s="432"/>
      <c r="J1" s="433"/>
    </row>
    <row r="2" spans="1:10" ht="28.5" customHeight="1">
      <c r="A2" s="434"/>
      <c r="B2" s="435"/>
      <c r="C2" s="435"/>
      <c r="D2" s="435"/>
      <c r="E2" s="435"/>
      <c r="F2" s="435"/>
      <c r="G2" s="435"/>
      <c r="H2" s="435"/>
      <c r="I2" s="435"/>
      <c r="J2" s="436"/>
    </row>
    <row r="3" spans="1:10" ht="28.5" customHeight="1">
      <c r="A3" s="446" t="s">
        <v>209</v>
      </c>
      <c r="B3" s="440"/>
      <c r="C3" s="440"/>
      <c r="D3" s="440"/>
      <c r="E3" s="440"/>
      <c r="F3" s="440"/>
      <c r="G3" s="440"/>
      <c r="H3" s="440"/>
      <c r="I3" s="440"/>
      <c r="J3" s="441"/>
    </row>
    <row r="4" spans="1:10" ht="21.75" customHeight="1">
      <c r="A4" s="81" t="s">
        <v>15</v>
      </c>
      <c r="B4" s="81" t="s">
        <v>118</v>
      </c>
      <c r="C4" s="81" t="s">
        <v>16</v>
      </c>
      <c r="D4" s="81" t="s">
        <v>119</v>
      </c>
      <c r="E4" s="81" t="s">
        <v>175</v>
      </c>
      <c r="F4" s="81" t="s">
        <v>176</v>
      </c>
      <c r="G4" s="81" t="s">
        <v>177</v>
      </c>
      <c r="H4" s="81" t="s">
        <v>178</v>
      </c>
      <c r="I4" s="81" t="s">
        <v>17</v>
      </c>
      <c r="J4" s="81" t="s">
        <v>18</v>
      </c>
    </row>
    <row r="5" spans="1:10" ht="15.75">
      <c r="A5" s="56">
        <v>1</v>
      </c>
      <c r="B5" s="57"/>
      <c r="C5" s="58" t="s">
        <v>121</v>
      </c>
      <c r="D5" s="59" t="s">
        <v>122</v>
      </c>
      <c r="E5" s="59"/>
      <c r="F5" s="60"/>
      <c r="G5" s="60"/>
      <c r="H5" s="60" t="s">
        <v>179</v>
      </c>
      <c r="I5" s="61">
        <v>60000</v>
      </c>
      <c r="J5" s="62"/>
    </row>
    <row r="6" spans="1:10" ht="15.75">
      <c r="A6" s="63">
        <v>2</v>
      </c>
      <c r="B6" s="64"/>
      <c r="C6" s="58" t="s">
        <v>124</v>
      </c>
      <c r="D6" s="59" t="s">
        <v>122</v>
      </c>
      <c r="E6" s="59"/>
      <c r="F6" s="59"/>
      <c r="G6" s="59"/>
      <c r="H6" s="59" t="s">
        <v>183</v>
      </c>
      <c r="I6" s="65">
        <v>0</v>
      </c>
      <c r="J6" s="66"/>
    </row>
    <row r="7" spans="1:10" ht="15.75">
      <c r="A7" s="63">
        <v>3</v>
      </c>
      <c r="B7" s="64"/>
      <c r="C7" s="58" t="s">
        <v>180</v>
      </c>
      <c r="D7" s="59" t="s">
        <v>128</v>
      </c>
      <c r="E7" s="59"/>
      <c r="F7" s="59"/>
      <c r="G7" s="59"/>
      <c r="H7" s="59" t="s">
        <v>179</v>
      </c>
      <c r="I7" s="67">
        <v>10000</v>
      </c>
      <c r="J7" s="66"/>
    </row>
    <row r="8" spans="1:10" ht="15.75">
      <c r="A8" s="63">
        <v>4</v>
      </c>
      <c r="B8" s="64"/>
      <c r="C8" s="58" t="s">
        <v>126</v>
      </c>
      <c r="D8" s="59" t="s">
        <v>122</v>
      </c>
      <c r="E8" s="59"/>
      <c r="F8" s="59"/>
      <c r="G8" s="59"/>
      <c r="H8" s="59" t="s">
        <v>179</v>
      </c>
      <c r="I8" s="68">
        <v>3500</v>
      </c>
      <c r="J8" s="66"/>
    </row>
    <row r="9" spans="1:10" ht="15.75">
      <c r="A9" s="63">
        <v>5</v>
      </c>
      <c r="B9" s="64"/>
      <c r="C9" s="58" t="s">
        <v>127</v>
      </c>
      <c r="D9" s="59" t="s">
        <v>128</v>
      </c>
      <c r="E9" s="59"/>
      <c r="F9" s="59"/>
      <c r="G9" s="59"/>
      <c r="H9" s="59" t="s">
        <v>179</v>
      </c>
      <c r="I9" s="68">
        <v>52000</v>
      </c>
      <c r="J9" s="69"/>
    </row>
    <row r="10" spans="1:10" ht="15.75">
      <c r="A10" s="63">
        <v>6</v>
      </c>
      <c r="B10" s="64"/>
      <c r="C10" s="58" t="s">
        <v>129</v>
      </c>
      <c r="D10" s="60" t="s">
        <v>128</v>
      </c>
      <c r="E10" s="59"/>
      <c r="F10" s="59"/>
      <c r="G10" s="59"/>
      <c r="H10" s="59" t="s">
        <v>179</v>
      </c>
      <c r="I10" s="68">
        <v>24469</v>
      </c>
      <c r="J10" s="69"/>
    </row>
    <row r="11" spans="1:10" ht="15.75">
      <c r="A11" s="63">
        <v>7</v>
      </c>
      <c r="B11" s="64"/>
      <c r="C11" s="58" t="s">
        <v>130</v>
      </c>
      <c r="D11" s="59" t="s">
        <v>128</v>
      </c>
      <c r="E11" s="59"/>
      <c r="F11" s="59"/>
      <c r="G11" s="59"/>
      <c r="H11" s="59" t="s">
        <v>179</v>
      </c>
      <c r="I11" s="68">
        <v>730</v>
      </c>
      <c r="J11" s="69"/>
    </row>
    <row r="12" spans="1:10" ht="15.75">
      <c r="A12" s="63">
        <v>8</v>
      </c>
      <c r="B12" s="64"/>
      <c r="C12" s="58" t="s">
        <v>181</v>
      </c>
      <c r="D12" s="59" t="s">
        <v>122</v>
      </c>
      <c r="E12" s="59"/>
      <c r="F12" s="59"/>
      <c r="G12" s="59"/>
      <c r="H12" s="59" t="s">
        <v>179</v>
      </c>
      <c r="I12" s="68">
        <f>16000+6500</f>
        <v>22500</v>
      </c>
      <c r="J12" s="69" t="s">
        <v>182</v>
      </c>
    </row>
    <row r="13" spans="1:10" ht="15.75">
      <c r="A13" s="63">
        <v>9</v>
      </c>
      <c r="B13" s="64"/>
      <c r="C13" s="58" t="s">
        <v>132</v>
      </c>
      <c r="D13" s="59" t="s">
        <v>128</v>
      </c>
      <c r="E13" s="59"/>
      <c r="F13" s="59"/>
      <c r="G13" s="59"/>
      <c r="H13" s="59" t="s">
        <v>183</v>
      </c>
      <c r="I13" s="68">
        <v>0</v>
      </c>
      <c r="J13" s="69"/>
    </row>
    <row r="14" spans="1:10" ht="15.75">
      <c r="A14" s="63">
        <v>10</v>
      </c>
      <c r="B14" s="64"/>
      <c r="C14" s="58" t="s">
        <v>133</v>
      </c>
      <c r="D14" s="59" t="s">
        <v>128</v>
      </c>
      <c r="E14" s="59"/>
      <c r="F14" s="59"/>
      <c r="G14" s="59"/>
      <c r="H14" s="59" t="s">
        <v>179</v>
      </c>
      <c r="I14" s="68">
        <v>8513</v>
      </c>
      <c r="J14" s="69"/>
    </row>
    <row r="15" spans="1:10" ht="15.75">
      <c r="A15" s="63">
        <v>11</v>
      </c>
      <c r="B15" s="64"/>
      <c r="C15" s="58" t="s">
        <v>133</v>
      </c>
      <c r="D15" s="60" t="s">
        <v>122</v>
      </c>
      <c r="E15" s="59"/>
      <c r="F15" s="59"/>
      <c r="G15" s="59"/>
      <c r="H15" s="59" t="s">
        <v>179</v>
      </c>
      <c r="I15" s="68">
        <v>14548</v>
      </c>
      <c r="J15" s="69"/>
    </row>
    <row r="16" spans="1:10" ht="15.75">
      <c r="A16" s="63">
        <v>12</v>
      </c>
      <c r="B16" s="64"/>
      <c r="C16" s="58" t="s">
        <v>134</v>
      </c>
      <c r="D16" s="59" t="s">
        <v>122</v>
      </c>
      <c r="E16" s="59"/>
      <c r="F16" s="59"/>
      <c r="G16" s="59"/>
      <c r="H16" s="59" t="s">
        <v>179</v>
      </c>
      <c r="I16" s="68">
        <v>9300</v>
      </c>
      <c r="J16" s="69" t="s">
        <v>210</v>
      </c>
    </row>
    <row r="17" spans="1:10" ht="15.75" customHeight="1">
      <c r="A17" s="63">
        <v>13</v>
      </c>
      <c r="B17" s="64"/>
      <c r="C17" s="58" t="s">
        <v>135</v>
      </c>
      <c r="D17" s="59" t="s">
        <v>122</v>
      </c>
      <c r="E17" s="59"/>
      <c r="F17" s="59"/>
      <c r="G17" s="59"/>
      <c r="H17" s="59" t="s">
        <v>179</v>
      </c>
      <c r="I17" s="68">
        <v>8955</v>
      </c>
      <c r="J17" s="69"/>
    </row>
    <row r="18" spans="1:10" ht="15.75" customHeight="1">
      <c r="A18" s="63">
        <v>14</v>
      </c>
      <c r="B18" s="64"/>
      <c r="C18" s="58" t="s">
        <v>136</v>
      </c>
      <c r="D18" s="59" t="s">
        <v>122</v>
      </c>
      <c r="E18" s="59"/>
      <c r="F18" s="59"/>
      <c r="G18" s="59"/>
      <c r="H18" s="59" t="s">
        <v>183</v>
      </c>
      <c r="I18" s="68">
        <v>6300</v>
      </c>
      <c r="J18" s="69"/>
    </row>
    <row r="19" spans="1:10" ht="15.75" customHeight="1">
      <c r="A19" s="63">
        <v>15</v>
      </c>
      <c r="B19" s="64">
        <v>44652</v>
      </c>
      <c r="C19" s="58" t="s">
        <v>211</v>
      </c>
      <c r="D19" s="59" t="s">
        <v>128</v>
      </c>
      <c r="E19" s="59">
        <v>591</v>
      </c>
      <c r="F19" s="59"/>
      <c r="G19" s="70"/>
      <c r="H19" s="70"/>
      <c r="I19" s="68">
        <v>5100</v>
      </c>
      <c r="J19" s="69"/>
    </row>
    <row r="20" spans="1:10" ht="15.75" customHeight="1">
      <c r="A20" s="63">
        <v>16</v>
      </c>
      <c r="B20" s="64">
        <v>44655</v>
      </c>
      <c r="C20" s="58" t="s">
        <v>212</v>
      </c>
      <c r="D20" s="60" t="s">
        <v>122</v>
      </c>
      <c r="E20" s="59" t="s">
        <v>213</v>
      </c>
      <c r="F20" s="59">
        <v>3</v>
      </c>
      <c r="G20" s="71">
        <v>22000</v>
      </c>
      <c r="H20" s="70"/>
      <c r="I20" s="68">
        <f t="shared" ref="I20:I29" si="0">F20*G20</f>
        <v>66000</v>
      </c>
      <c r="J20" s="69"/>
    </row>
    <row r="21" spans="1:10" ht="15.75" customHeight="1">
      <c r="A21" s="63">
        <v>17</v>
      </c>
      <c r="B21" s="64">
        <v>44661</v>
      </c>
      <c r="C21" s="58" t="s">
        <v>214</v>
      </c>
      <c r="D21" s="59" t="s">
        <v>122</v>
      </c>
      <c r="E21" s="59">
        <v>4650</v>
      </c>
      <c r="F21" s="59">
        <v>5</v>
      </c>
      <c r="G21" s="71">
        <v>15000</v>
      </c>
      <c r="H21" s="59"/>
      <c r="I21" s="68">
        <f t="shared" si="0"/>
        <v>75000</v>
      </c>
      <c r="J21" s="69"/>
    </row>
    <row r="22" spans="1:10" ht="15.75" customHeight="1">
      <c r="A22" s="63">
        <v>18</v>
      </c>
      <c r="B22" s="64">
        <v>44662</v>
      </c>
      <c r="C22" s="58" t="s">
        <v>208</v>
      </c>
      <c r="D22" s="59" t="s">
        <v>122</v>
      </c>
      <c r="E22" s="59">
        <v>1360</v>
      </c>
      <c r="F22" s="59">
        <v>5</v>
      </c>
      <c r="G22" s="71">
        <v>2300</v>
      </c>
      <c r="H22" s="59"/>
      <c r="I22" s="68">
        <f t="shared" si="0"/>
        <v>11500</v>
      </c>
      <c r="J22" s="69"/>
    </row>
    <row r="23" spans="1:10" ht="15.75" customHeight="1">
      <c r="A23" s="63">
        <v>19</v>
      </c>
      <c r="B23" s="64">
        <v>44662</v>
      </c>
      <c r="C23" s="58" t="s">
        <v>215</v>
      </c>
      <c r="D23" s="59" t="s">
        <v>122</v>
      </c>
      <c r="E23" s="59">
        <v>1359</v>
      </c>
      <c r="F23" s="59">
        <v>4</v>
      </c>
      <c r="G23" s="71">
        <v>3800</v>
      </c>
      <c r="H23" s="59"/>
      <c r="I23" s="68">
        <f t="shared" si="0"/>
        <v>15200</v>
      </c>
      <c r="J23" s="69"/>
    </row>
    <row r="24" spans="1:10" ht="15.75" customHeight="1">
      <c r="A24" s="63">
        <v>20</v>
      </c>
      <c r="B24" s="64">
        <v>44666</v>
      </c>
      <c r="C24" s="58" t="s">
        <v>214</v>
      </c>
      <c r="D24" s="59" t="s">
        <v>122</v>
      </c>
      <c r="E24" s="59">
        <v>4658</v>
      </c>
      <c r="F24" s="59">
        <v>10</v>
      </c>
      <c r="G24" s="71">
        <v>15000</v>
      </c>
      <c r="H24" s="59"/>
      <c r="I24" s="68">
        <f t="shared" si="0"/>
        <v>150000</v>
      </c>
      <c r="J24" s="69"/>
    </row>
    <row r="25" spans="1:10" ht="15.75" customHeight="1">
      <c r="A25" s="63">
        <v>21</v>
      </c>
      <c r="B25" s="64">
        <v>44666</v>
      </c>
      <c r="C25" s="58" t="s">
        <v>191</v>
      </c>
      <c r="D25" s="60" t="s">
        <v>122</v>
      </c>
      <c r="E25" s="59">
        <v>7752</v>
      </c>
      <c r="F25" s="59">
        <v>1</v>
      </c>
      <c r="G25" s="71">
        <v>24500</v>
      </c>
      <c r="H25" s="59"/>
      <c r="I25" s="68">
        <f t="shared" si="0"/>
        <v>24500</v>
      </c>
      <c r="J25" s="69"/>
    </row>
    <row r="26" spans="1:10" ht="15.75" customHeight="1">
      <c r="A26" s="63">
        <v>22</v>
      </c>
      <c r="B26" s="64">
        <v>44666</v>
      </c>
      <c r="C26" s="58" t="s">
        <v>207</v>
      </c>
      <c r="D26" s="59" t="s">
        <v>122</v>
      </c>
      <c r="E26" s="59">
        <v>7752</v>
      </c>
      <c r="F26" s="59">
        <v>1</v>
      </c>
      <c r="G26" s="71">
        <v>6000</v>
      </c>
      <c r="H26" s="59"/>
      <c r="I26" s="68">
        <f t="shared" si="0"/>
        <v>6000</v>
      </c>
      <c r="J26" s="62"/>
    </row>
    <row r="27" spans="1:10" ht="15.75" customHeight="1">
      <c r="A27" s="63">
        <v>23</v>
      </c>
      <c r="B27" s="64">
        <v>44667</v>
      </c>
      <c r="C27" s="58" t="s">
        <v>216</v>
      </c>
      <c r="D27" s="59" t="s">
        <v>122</v>
      </c>
      <c r="E27" s="59">
        <v>1222</v>
      </c>
      <c r="F27" s="59">
        <v>10</v>
      </c>
      <c r="G27" s="71">
        <v>250</v>
      </c>
      <c r="H27" s="59"/>
      <c r="I27" s="68">
        <f t="shared" si="0"/>
        <v>2500</v>
      </c>
      <c r="J27" s="69"/>
    </row>
    <row r="28" spans="1:10" ht="15.75" customHeight="1">
      <c r="A28" s="63">
        <v>24</v>
      </c>
      <c r="B28" s="64">
        <v>44670</v>
      </c>
      <c r="C28" s="58" t="s">
        <v>217</v>
      </c>
      <c r="D28" s="59" t="s">
        <v>122</v>
      </c>
      <c r="E28" s="59">
        <v>7997</v>
      </c>
      <c r="F28" s="59">
        <v>4</v>
      </c>
      <c r="G28" s="71">
        <f>1139.02/4</f>
        <v>284.755</v>
      </c>
      <c r="H28" s="59"/>
      <c r="I28" s="68">
        <f t="shared" si="0"/>
        <v>1139.02</v>
      </c>
      <c r="J28" s="72"/>
    </row>
    <row r="29" spans="1:10" ht="15.75" customHeight="1">
      <c r="A29" s="63">
        <v>25</v>
      </c>
      <c r="B29" s="64">
        <v>44670</v>
      </c>
      <c r="C29" s="58" t="s">
        <v>218</v>
      </c>
      <c r="D29" s="59" t="s">
        <v>122</v>
      </c>
      <c r="E29" s="59">
        <v>7997</v>
      </c>
      <c r="F29" s="59">
        <v>1</v>
      </c>
      <c r="G29" s="71">
        <v>380</v>
      </c>
      <c r="H29" s="59"/>
      <c r="I29" s="68">
        <f t="shared" si="0"/>
        <v>380</v>
      </c>
      <c r="J29" s="69"/>
    </row>
    <row r="30" spans="1:10" ht="15.75" customHeight="1">
      <c r="A30" s="63">
        <v>26</v>
      </c>
      <c r="B30" s="64"/>
      <c r="C30" s="58"/>
      <c r="D30" s="60"/>
      <c r="E30" s="59"/>
      <c r="F30" s="59"/>
      <c r="G30" s="71"/>
      <c r="H30" s="59"/>
      <c r="I30" s="68"/>
      <c r="J30" s="69"/>
    </row>
    <row r="31" spans="1:10" ht="15.75" customHeight="1">
      <c r="A31" s="63">
        <v>27</v>
      </c>
      <c r="B31" s="64"/>
      <c r="C31" s="58"/>
      <c r="D31" s="59"/>
      <c r="E31" s="59"/>
      <c r="F31" s="59"/>
      <c r="G31" s="71"/>
      <c r="H31" s="59"/>
      <c r="I31" s="68"/>
      <c r="J31" s="69"/>
    </row>
    <row r="32" spans="1:10" ht="15.75" customHeight="1">
      <c r="A32" s="63">
        <v>28</v>
      </c>
      <c r="B32" s="64"/>
      <c r="C32" s="58"/>
      <c r="D32" s="59"/>
      <c r="E32" s="59"/>
      <c r="F32" s="59"/>
      <c r="G32" s="59"/>
      <c r="H32" s="59"/>
      <c r="I32" s="68"/>
      <c r="J32" s="69"/>
    </row>
    <row r="33" spans="1:10" ht="15.75" customHeight="1">
      <c r="A33" s="63">
        <v>29</v>
      </c>
      <c r="B33" s="64"/>
      <c r="C33" s="58"/>
      <c r="D33" s="59"/>
      <c r="E33" s="59"/>
      <c r="F33" s="59"/>
      <c r="G33" s="59"/>
      <c r="H33" s="59"/>
      <c r="I33" s="68"/>
      <c r="J33" s="69"/>
    </row>
    <row r="34" spans="1:10" ht="15.75" customHeight="1">
      <c r="A34" s="63">
        <v>30</v>
      </c>
      <c r="B34" s="64"/>
      <c r="C34" s="58"/>
      <c r="D34" s="59"/>
      <c r="E34" s="59"/>
      <c r="F34" s="59"/>
      <c r="G34" s="59"/>
      <c r="H34" s="59"/>
      <c r="I34" s="68"/>
      <c r="J34" s="69"/>
    </row>
    <row r="35" spans="1:10" ht="15.75" customHeight="1">
      <c r="A35" s="63">
        <v>31</v>
      </c>
      <c r="B35" s="64"/>
      <c r="C35" s="58"/>
      <c r="D35" s="60"/>
      <c r="E35" s="59"/>
      <c r="F35" s="59"/>
      <c r="G35" s="59"/>
      <c r="H35" s="59"/>
      <c r="I35" s="68"/>
      <c r="J35" s="69"/>
    </row>
    <row r="36" spans="1:10" ht="15.75" customHeight="1">
      <c r="A36" s="63">
        <v>32</v>
      </c>
      <c r="B36" s="64"/>
      <c r="C36" s="58"/>
      <c r="D36" s="59"/>
      <c r="E36" s="59"/>
      <c r="F36" s="59"/>
      <c r="G36" s="59"/>
      <c r="H36" s="59"/>
      <c r="I36" s="68"/>
      <c r="J36" s="69"/>
    </row>
    <row r="37" spans="1:10" ht="15.75" customHeight="1">
      <c r="A37" s="63">
        <v>33</v>
      </c>
      <c r="B37" s="64"/>
      <c r="C37" s="58"/>
      <c r="D37" s="59"/>
      <c r="E37" s="59"/>
      <c r="F37" s="59"/>
      <c r="G37" s="59"/>
      <c r="H37" s="59"/>
      <c r="I37" s="68"/>
      <c r="J37" s="69"/>
    </row>
    <row r="38" spans="1:10" ht="15.75" customHeight="1">
      <c r="A38" s="63">
        <v>34</v>
      </c>
      <c r="B38" s="64"/>
      <c r="C38" s="58"/>
      <c r="D38" s="59"/>
      <c r="E38" s="59"/>
      <c r="F38" s="59"/>
      <c r="G38" s="59"/>
      <c r="H38" s="59"/>
      <c r="I38" s="68"/>
      <c r="J38" s="72"/>
    </row>
    <row r="39" spans="1:10" ht="15.75" customHeight="1">
      <c r="A39" s="63">
        <v>35</v>
      </c>
      <c r="B39" s="64"/>
      <c r="C39" s="58"/>
      <c r="D39" s="59"/>
      <c r="E39" s="59"/>
      <c r="F39" s="59"/>
      <c r="G39" s="59"/>
      <c r="H39" s="59"/>
      <c r="I39" s="68"/>
      <c r="J39" s="72"/>
    </row>
    <row r="40" spans="1:10" ht="15.75" customHeight="1">
      <c r="A40" s="63">
        <v>36</v>
      </c>
      <c r="B40" s="64"/>
      <c r="C40" s="58"/>
      <c r="D40" s="60"/>
      <c r="E40" s="59"/>
      <c r="F40" s="59"/>
      <c r="G40" s="70"/>
      <c r="H40" s="59"/>
      <c r="I40" s="68"/>
      <c r="J40" s="72"/>
    </row>
    <row r="41" spans="1:10" ht="15.75" customHeight="1">
      <c r="A41" s="63">
        <v>37</v>
      </c>
      <c r="B41" s="64"/>
      <c r="C41" s="58"/>
      <c r="D41" s="59"/>
      <c r="E41" s="59"/>
      <c r="F41" s="59"/>
      <c r="G41" s="59"/>
      <c r="H41" s="59"/>
      <c r="I41" s="68"/>
      <c r="J41" s="72"/>
    </row>
    <row r="42" spans="1:10" ht="15.75" customHeight="1">
      <c r="A42" s="63">
        <v>38</v>
      </c>
      <c r="B42" s="64"/>
      <c r="C42" s="58"/>
      <c r="D42" s="59"/>
      <c r="E42" s="59"/>
      <c r="F42" s="59"/>
      <c r="G42" s="59"/>
      <c r="H42" s="59"/>
      <c r="I42" s="68"/>
      <c r="J42" s="72"/>
    </row>
    <row r="43" spans="1:10" ht="15.75" customHeight="1">
      <c r="A43" s="63">
        <v>39</v>
      </c>
      <c r="B43" s="64"/>
      <c r="C43" s="58"/>
      <c r="D43" s="59"/>
      <c r="E43" s="59"/>
      <c r="F43" s="59"/>
      <c r="G43" s="59"/>
      <c r="H43" s="59"/>
      <c r="I43" s="68"/>
      <c r="J43" s="72"/>
    </row>
    <row r="44" spans="1:10" ht="15.75" customHeight="1">
      <c r="A44" s="63">
        <v>40</v>
      </c>
      <c r="B44" s="64"/>
      <c r="C44" s="58"/>
      <c r="D44" s="59"/>
      <c r="E44" s="59"/>
      <c r="F44" s="59"/>
      <c r="G44" s="59"/>
      <c r="H44" s="59"/>
      <c r="I44" s="68"/>
      <c r="J44" s="72"/>
    </row>
    <row r="45" spans="1:10" ht="15.75" customHeight="1">
      <c r="A45" s="63">
        <v>41</v>
      </c>
      <c r="B45" s="64"/>
      <c r="C45" s="58"/>
      <c r="D45" s="60"/>
      <c r="E45" s="59"/>
      <c r="F45" s="59"/>
      <c r="G45" s="59"/>
      <c r="H45" s="59"/>
      <c r="I45" s="68"/>
      <c r="J45" s="72"/>
    </row>
    <row r="46" spans="1:10" ht="15.75" customHeight="1">
      <c r="A46" s="63">
        <v>42</v>
      </c>
      <c r="B46" s="64"/>
      <c r="C46" s="58"/>
      <c r="D46" s="59"/>
      <c r="E46" s="59"/>
      <c r="F46" s="59"/>
      <c r="G46" s="59"/>
      <c r="H46" s="59"/>
      <c r="I46" s="68"/>
      <c r="J46" s="72"/>
    </row>
    <row r="47" spans="1:10" ht="15.75" customHeight="1">
      <c r="A47" s="63">
        <v>43</v>
      </c>
      <c r="B47" s="64"/>
      <c r="C47" s="73"/>
      <c r="D47" s="59"/>
      <c r="E47" s="74"/>
      <c r="F47" s="74"/>
      <c r="G47" s="74"/>
      <c r="H47" s="74"/>
      <c r="I47" s="75"/>
      <c r="J47" s="76"/>
    </row>
    <row r="48" spans="1:10" ht="15.75" customHeight="1">
      <c r="A48" s="63">
        <v>44</v>
      </c>
      <c r="B48" s="64"/>
      <c r="C48" s="58"/>
      <c r="D48" s="59"/>
      <c r="E48" s="59"/>
      <c r="F48" s="59"/>
      <c r="G48" s="59"/>
      <c r="H48" s="59"/>
      <c r="I48" s="68"/>
      <c r="J48" s="72"/>
    </row>
    <row r="49" spans="1:10" ht="15.75" customHeight="1">
      <c r="A49" s="63">
        <v>45</v>
      </c>
      <c r="B49" s="64"/>
      <c r="C49" s="58"/>
      <c r="D49" s="59"/>
      <c r="E49" s="59"/>
      <c r="F49" s="59"/>
      <c r="G49" s="59"/>
      <c r="H49" s="59"/>
      <c r="I49" s="68"/>
      <c r="J49" s="72"/>
    </row>
    <row r="50" spans="1:10" ht="15.75" customHeight="1">
      <c r="A50" s="63">
        <v>46</v>
      </c>
      <c r="B50" s="64"/>
      <c r="C50" s="58"/>
      <c r="D50" s="60"/>
      <c r="E50" s="59"/>
      <c r="F50" s="59"/>
      <c r="G50" s="59"/>
      <c r="H50" s="59"/>
      <c r="I50" s="77"/>
      <c r="J50" s="72"/>
    </row>
    <row r="51" spans="1:10" ht="15.75" customHeight="1">
      <c r="A51" s="63">
        <v>47</v>
      </c>
      <c r="B51" s="64"/>
      <c r="C51" s="58"/>
      <c r="D51" s="59"/>
      <c r="E51" s="59"/>
      <c r="F51" s="59"/>
      <c r="G51" s="59"/>
      <c r="H51" s="59"/>
      <c r="I51" s="68"/>
      <c r="J51" s="72"/>
    </row>
    <row r="52" spans="1:10" ht="15.75" customHeight="1">
      <c r="A52" s="63">
        <v>48</v>
      </c>
      <c r="B52" s="64"/>
      <c r="C52" s="58"/>
      <c r="D52" s="59"/>
      <c r="E52" s="59"/>
      <c r="F52" s="59"/>
      <c r="G52" s="59"/>
      <c r="H52" s="59"/>
      <c r="I52" s="68"/>
      <c r="J52" s="72"/>
    </row>
    <row r="53" spans="1:10" ht="15.75" customHeight="1">
      <c r="A53" s="63">
        <v>49</v>
      </c>
      <c r="B53" s="64"/>
      <c r="C53" s="58"/>
      <c r="D53" s="59"/>
      <c r="E53" s="59"/>
      <c r="F53" s="59"/>
      <c r="G53" s="59"/>
      <c r="H53" s="59"/>
      <c r="I53" s="68"/>
      <c r="J53" s="72"/>
    </row>
    <row r="54" spans="1:10" ht="15.75" customHeight="1">
      <c r="A54" s="63">
        <v>50</v>
      </c>
      <c r="B54" s="64"/>
      <c r="C54" s="58"/>
      <c r="D54" s="59"/>
      <c r="E54" s="59"/>
      <c r="F54" s="59"/>
      <c r="G54" s="59"/>
      <c r="H54" s="59"/>
      <c r="I54" s="68"/>
      <c r="J54" s="72"/>
    </row>
    <row r="55" spans="1:10" ht="15.75" customHeight="1">
      <c r="A55" s="63">
        <v>51</v>
      </c>
      <c r="B55" s="64"/>
      <c r="C55" s="58"/>
      <c r="D55" s="60"/>
      <c r="E55" s="59"/>
      <c r="F55" s="59"/>
      <c r="G55" s="59"/>
      <c r="H55" s="59"/>
      <c r="I55" s="68"/>
      <c r="J55" s="72"/>
    </row>
    <row r="56" spans="1:10" ht="15.75" customHeight="1">
      <c r="A56" s="63">
        <v>52</v>
      </c>
      <c r="B56" s="64"/>
      <c r="C56" s="58"/>
      <c r="D56" s="59"/>
      <c r="E56" s="59"/>
      <c r="F56" s="59"/>
      <c r="G56" s="59"/>
      <c r="H56" s="59"/>
      <c r="I56" s="68"/>
      <c r="J56" s="72"/>
    </row>
    <row r="57" spans="1:10" ht="15.75" customHeight="1">
      <c r="A57" s="63">
        <v>53</v>
      </c>
      <c r="B57" s="64"/>
      <c r="C57" s="58"/>
      <c r="D57" s="59"/>
      <c r="E57" s="59"/>
      <c r="F57" s="59"/>
      <c r="G57" s="59"/>
      <c r="H57" s="59"/>
      <c r="I57" s="68"/>
      <c r="J57" s="72"/>
    </row>
    <row r="58" spans="1:10" ht="15.75" customHeight="1">
      <c r="A58" s="63">
        <v>54</v>
      </c>
      <c r="B58" s="64"/>
      <c r="C58" s="58"/>
      <c r="D58" s="59"/>
      <c r="E58" s="59"/>
      <c r="F58" s="59"/>
      <c r="G58" s="59"/>
      <c r="H58" s="59"/>
      <c r="I58" s="68"/>
      <c r="J58" s="72"/>
    </row>
    <row r="59" spans="1:10" ht="15.75" customHeight="1">
      <c r="A59" s="63">
        <v>55</v>
      </c>
      <c r="B59" s="64"/>
      <c r="C59" s="78"/>
      <c r="D59" s="59"/>
      <c r="E59" s="79"/>
      <c r="F59" s="79"/>
      <c r="G59" s="79"/>
      <c r="H59" s="79"/>
      <c r="I59" s="68"/>
      <c r="J59" s="80"/>
    </row>
    <row r="60" spans="1:10" ht="15.75" customHeight="1">
      <c r="A60" s="63">
        <v>56</v>
      </c>
      <c r="B60" s="64"/>
      <c r="C60" s="78"/>
      <c r="D60" s="79"/>
      <c r="E60" s="79"/>
      <c r="F60" s="79"/>
      <c r="G60" s="79"/>
      <c r="H60" s="79"/>
      <c r="I60" s="68"/>
      <c r="J60" s="80"/>
    </row>
    <row r="61" spans="1:10" ht="15.75" customHeight="1">
      <c r="A61" s="63">
        <v>57</v>
      </c>
      <c r="B61" s="64"/>
      <c r="C61" s="78"/>
      <c r="D61" s="79"/>
      <c r="E61" s="79"/>
      <c r="F61" s="79"/>
      <c r="G61" s="79"/>
      <c r="H61" s="79"/>
      <c r="I61" s="68"/>
      <c r="J61" s="80"/>
    </row>
    <row r="62" spans="1:10" ht="15.75" customHeight="1">
      <c r="A62" s="63">
        <v>58</v>
      </c>
      <c r="B62" s="64"/>
      <c r="C62" s="78"/>
      <c r="D62" s="79"/>
      <c r="E62" s="79"/>
      <c r="F62" s="79"/>
      <c r="G62" s="79"/>
      <c r="H62" s="79"/>
      <c r="I62" s="68"/>
      <c r="J62" s="80"/>
    </row>
    <row r="63" spans="1:10" ht="15.75" customHeight="1">
      <c r="A63" s="63">
        <v>59</v>
      </c>
      <c r="B63" s="64"/>
      <c r="C63" s="78"/>
      <c r="D63" s="79"/>
      <c r="E63" s="79"/>
      <c r="F63" s="79"/>
      <c r="G63" s="79"/>
      <c r="H63" s="79"/>
      <c r="I63" s="68"/>
      <c r="J63" s="80"/>
    </row>
  </sheetData>
  <mergeCells count="2">
    <mergeCell ref="A1:J2"/>
    <mergeCell ref="A3:J3"/>
  </mergeCells>
  <conditionalFormatting sqref="I5">
    <cfRule type="expression" dxfId="107" priority="1">
      <formula>$H$5="Unpaid"</formula>
    </cfRule>
    <cfRule type="expression" dxfId="106" priority="2">
      <formula>$H$5="Paid"</formula>
    </cfRule>
  </conditionalFormatting>
  <conditionalFormatting sqref="I6">
    <cfRule type="expression" dxfId="105" priority="3">
      <formula>$H$6="Unpaid"</formula>
    </cfRule>
    <cfRule type="expression" dxfId="104" priority="4">
      <formula>$H$6="Paid"</formula>
    </cfRule>
  </conditionalFormatting>
  <conditionalFormatting sqref="I7">
    <cfRule type="expression" dxfId="103" priority="5">
      <formula>$H$7="Unpaid"</formula>
    </cfRule>
    <cfRule type="expression" dxfId="102" priority="6">
      <formula>$H$7="Paid"</formula>
    </cfRule>
  </conditionalFormatting>
  <conditionalFormatting sqref="I8">
    <cfRule type="expression" dxfId="101" priority="7">
      <formula>$H$8="Unpaid"</formula>
    </cfRule>
    <cfRule type="expression" dxfId="100" priority="8">
      <formula>$H$8="Paid"</formula>
    </cfRule>
  </conditionalFormatting>
  <conditionalFormatting sqref="I9">
    <cfRule type="expression" dxfId="99" priority="9">
      <formula>$H$9="Unpaid"</formula>
    </cfRule>
    <cfRule type="expression" dxfId="98" priority="10">
      <formula>$H$9="Paid"</formula>
    </cfRule>
  </conditionalFormatting>
  <conditionalFormatting sqref="I10">
    <cfRule type="expression" dxfId="97" priority="11">
      <formula>$H$10="Unpaid"</formula>
    </cfRule>
    <cfRule type="expression" dxfId="96" priority="12">
      <formula>$H$10="Paid"</formula>
    </cfRule>
  </conditionalFormatting>
  <conditionalFormatting sqref="I11">
    <cfRule type="expression" dxfId="95" priority="13">
      <formula>$H$11="Unpaid"</formula>
    </cfRule>
    <cfRule type="expression" dxfId="94" priority="14">
      <formula>$H$11="Paid"</formula>
    </cfRule>
  </conditionalFormatting>
  <conditionalFormatting sqref="I12">
    <cfRule type="expression" dxfId="93" priority="15">
      <formula>$H$12="Unpaid"</formula>
    </cfRule>
    <cfRule type="expression" dxfId="92" priority="16">
      <formula>$H$12="Paid"</formula>
    </cfRule>
  </conditionalFormatting>
  <conditionalFormatting sqref="I13">
    <cfRule type="expression" dxfId="91" priority="17">
      <formula>$H$13="Unpaid"</formula>
    </cfRule>
    <cfRule type="expression" dxfId="90" priority="18">
      <formula>$H$13="Paid"</formula>
    </cfRule>
  </conditionalFormatting>
  <conditionalFormatting sqref="I14">
    <cfRule type="expression" dxfId="89" priority="19">
      <formula>$H$14="Unpaid"</formula>
    </cfRule>
    <cfRule type="expression" dxfId="88" priority="20">
      <formula>$H$14="Paid"</formula>
    </cfRule>
  </conditionalFormatting>
  <conditionalFormatting sqref="I15">
    <cfRule type="expression" dxfId="87" priority="21">
      <formula>$H$15="Unpaid"</formula>
    </cfRule>
    <cfRule type="expression" dxfId="86" priority="22">
      <formula>$H$15="Paid"</formula>
    </cfRule>
  </conditionalFormatting>
  <conditionalFormatting sqref="I16">
    <cfRule type="expression" dxfId="85" priority="23">
      <formula>$H$16="Unpaid"</formula>
    </cfRule>
    <cfRule type="expression" dxfId="84" priority="24">
      <formula>$H$16="Paid"</formula>
    </cfRule>
  </conditionalFormatting>
  <conditionalFormatting sqref="I17">
    <cfRule type="expression" dxfId="83" priority="25">
      <formula>$H$17="Unpaid"</formula>
    </cfRule>
    <cfRule type="expression" dxfId="82" priority="26">
      <formula>$H$17="Paid"</formula>
    </cfRule>
  </conditionalFormatting>
  <conditionalFormatting sqref="I18">
    <cfRule type="expression" dxfId="81" priority="27">
      <formula>$H$18="Unpaid"</formula>
    </cfRule>
    <cfRule type="expression" dxfId="80" priority="28">
      <formula>$H$18="Paid"</formula>
    </cfRule>
  </conditionalFormatting>
  <pageMargins left="0.7" right="0.7" top="0.75" bottom="0.75" header="0" footer="0"/>
  <pageSetup scale="84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0"/>
  <sheetViews>
    <sheetView workbookViewId="0">
      <pane ySplit="1" topLeftCell="A5" activePane="bottomLeft" state="frozen"/>
      <selection pane="bottomLeft" activeCell="A5" sqref="A5"/>
      <selection activeCell="A5" sqref="A5"/>
    </sheetView>
  </sheetViews>
  <sheetFormatPr defaultColWidth="14.42578125" defaultRowHeight="15" customHeight="1"/>
  <cols>
    <col min="1" max="1" width="9.140625" customWidth="1"/>
    <col min="2" max="2" width="19.42578125" customWidth="1"/>
    <col min="3" max="3" width="22" customWidth="1"/>
    <col min="4" max="4" width="28.140625" customWidth="1"/>
    <col min="5" max="5" width="40.85546875" bestFit="1" customWidth="1"/>
    <col min="6" max="6" width="24.7109375" customWidth="1"/>
    <col min="7" max="7" width="23" customWidth="1"/>
    <col min="8" max="8" width="24.28515625" customWidth="1"/>
    <col min="9" max="9" width="18.140625" customWidth="1"/>
    <col min="10" max="11" width="22.7109375" customWidth="1"/>
    <col min="12" max="12" width="23.7109375" customWidth="1"/>
    <col min="13" max="13" width="22.7109375" customWidth="1"/>
    <col min="14" max="14" width="49.42578125" customWidth="1"/>
  </cols>
  <sheetData>
    <row r="1" spans="1:14" ht="33" customHeight="1">
      <c r="A1" s="212" t="s">
        <v>15</v>
      </c>
      <c r="B1" s="149" t="s">
        <v>219</v>
      </c>
      <c r="C1" s="149" t="s">
        <v>220</v>
      </c>
      <c r="D1" s="147" t="s">
        <v>221</v>
      </c>
      <c r="E1" s="147" t="s">
        <v>222</v>
      </c>
      <c r="F1" s="147" t="s">
        <v>223</v>
      </c>
      <c r="G1" s="147" t="s">
        <v>224</v>
      </c>
      <c r="H1" s="147" t="s">
        <v>225</v>
      </c>
      <c r="I1" s="147" t="s">
        <v>226</v>
      </c>
      <c r="J1" s="146" t="s">
        <v>227</v>
      </c>
      <c r="K1" s="148" t="s">
        <v>228</v>
      </c>
      <c r="L1" s="149" t="s">
        <v>229</v>
      </c>
      <c r="M1" s="148" t="s">
        <v>230</v>
      </c>
      <c r="N1" s="213" t="s">
        <v>18</v>
      </c>
    </row>
    <row r="2" spans="1:14" ht="15.75">
      <c r="A2" s="223"/>
      <c r="B2" s="219"/>
      <c r="C2" s="220"/>
      <c r="D2" s="221"/>
      <c r="E2" s="215"/>
      <c r="F2" s="215"/>
      <c r="G2" s="215"/>
      <c r="H2" s="215"/>
      <c r="I2" s="215"/>
      <c r="J2" s="216"/>
      <c r="K2" s="217"/>
      <c r="L2" s="214"/>
      <c r="M2" s="222"/>
      <c r="N2" s="223"/>
    </row>
    <row r="3" spans="1:14" ht="15.75">
      <c r="A3" s="5">
        <v>1</v>
      </c>
      <c r="B3" s="128">
        <v>44722</v>
      </c>
      <c r="C3" s="207"/>
      <c r="D3" s="130" t="s">
        <v>231</v>
      </c>
      <c r="E3" s="131" t="s">
        <v>232</v>
      </c>
      <c r="F3" s="155"/>
      <c r="G3" s="133" t="s">
        <v>233</v>
      </c>
      <c r="H3" s="133"/>
      <c r="I3" s="133"/>
      <c r="J3" s="121">
        <f>34379+87143+16437</f>
        <v>137959</v>
      </c>
      <c r="K3" s="150"/>
      <c r="L3" s="134"/>
      <c r="M3" s="69"/>
      <c r="N3" s="135"/>
    </row>
    <row r="4" spans="1:14" ht="15.75">
      <c r="A4" s="9">
        <v>2</v>
      </c>
      <c r="B4" s="136">
        <v>44722</v>
      </c>
      <c r="C4" s="207"/>
      <c r="D4" s="130" t="s">
        <v>234</v>
      </c>
      <c r="E4" s="131" t="s">
        <v>235</v>
      </c>
      <c r="F4" s="156"/>
      <c r="G4" s="132"/>
      <c r="H4" s="133"/>
      <c r="I4" s="133"/>
      <c r="J4" s="122">
        <v>10180</v>
      </c>
      <c r="K4" s="150">
        <f>J4/180</f>
        <v>56.555555555555557</v>
      </c>
      <c r="L4" s="137" t="s">
        <v>3</v>
      </c>
      <c r="M4" s="161" t="s">
        <v>236</v>
      </c>
      <c r="N4" s="204" t="s">
        <v>237</v>
      </c>
    </row>
    <row r="5" spans="1:14" ht="15.75">
      <c r="A5" s="9">
        <v>3</v>
      </c>
      <c r="B5" s="136">
        <v>44743</v>
      </c>
      <c r="C5" s="139"/>
      <c r="D5" s="130" t="s">
        <v>238</v>
      </c>
      <c r="E5" s="131" t="s">
        <v>239</v>
      </c>
      <c r="F5" s="156"/>
      <c r="G5" s="132" t="s">
        <v>233</v>
      </c>
      <c r="H5" s="133"/>
      <c r="I5" s="133"/>
      <c r="J5" s="123">
        <v>6185</v>
      </c>
      <c r="K5" s="150"/>
      <c r="L5" s="137" t="s">
        <v>240</v>
      </c>
      <c r="M5" s="69"/>
      <c r="N5" s="202" t="s">
        <v>241</v>
      </c>
    </row>
    <row r="6" spans="1:14" ht="15.75">
      <c r="A6" s="9">
        <v>4</v>
      </c>
      <c r="B6" s="136">
        <v>44756</v>
      </c>
      <c r="C6" s="139"/>
      <c r="D6" s="130" t="s">
        <v>242</v>
      </c>
      <c r="E6" s="131" t="s">
        <v>243</v>
      </c>
      <c r="F6" s="156" t="s">
        <v>244</v>
      </c>
      <c r="G6" s="132" t="s">
        <v>245</v>
      </c>
      <c r="H6" s="133"/>
      <c r="I6" s="133"/>
      <c r="J6" s="124">
        <v>50</v>
      </c>
      <c r="K6" s="150"/>
      <c r="L6" s="137" t="s">
        <v>3</v>
      </c>
      <c r="M6" s="69"/>
      <c r="N6" s="138"/>
    </row>
    <row r="7" spans="1:14" ht="15.75">
      <c r="A7" s="9">
        <v>5</v>
      </c>
      <c r="B7" s="136"/>
      <c r="C7" s="139"/>
      <c r="D7" s="130" t="s">
        <v>246</v>
      </c>
      <c r="E7" s="131" t="s">
        <v>247</v>
      </c>
      <c r="F7" s="156"/>
      <c r="G7" s="132" t="s">
        <v>248</v>
      </c>
      <c r="H7" s="133"/>
      <c r="I7" s="133"/>
      <c r="J7" s="124">
        <v>0</v>
      </c>
      <c r="K7" s="150"/>
      <c r="L7" s="137" t="s">
        <v>249</v>
      </c>
      <c r="M7" s="69"/>
      <c r="N7" s="140" t="s">
        <v>250</v>
      </c>
    </row>
    <row r="8" spans="1:14" ht="15.75">
      <c r="A8" s="187">
        <v>6</v>
      </c>
      <c r="B8" s="188">
        <v>44788</v>
      </c>
      <c r="C8" s="189"/>
      <c r="D8" s="190" t="s">
        <v>251</v>
      </c>
      <c r="E8" s="191" t="s">
        <v>252</v>
      </c>
      <c r="F8" s="192" t="s">
        <v>253</v>
      </c>
      <c r="G8" s="193" t="s">
        <v>248</v>
      </c>
      <c r="H8" s="153"/>
      <c r="I8" s="153"/>
      <c r="J8" s="194">
        <v>6625</v>
      </c>
      <c r="K8" s="150">
        <v>33.1</v>
      </c>
      <c r="L8" s="193" t="s">
        <v>240</v>
      </c>
      <c r="M8" s="203" t="s">
        <v>254</v>
      </c>
      <c r="N8" s="201" t="s">
        <v>255</v>
      </c>
    </row>
    <row r="9" spans="1:14" ht="15.75">
      <c r="A9" s="164">
        <v>7</v>
      </c>
      <c r="B9" s="165">
        <v>44706</v>
      </c>
      <c r="C9" s="166"/>
      <c r="D9" s="167" t="s">
        <v>234</v>
      </c>
      <c r="E9" s="168" t="s">
        <v>256</v>
      </c>
      <c r="F9" s="169"/>
      <c r="G9" s="170"/>
      <c r="H9" s="171" t="s">
        <v>257</v>
      </c>
      <c r="I9" s="171" t="s">
        <v>258</v>
      </c>
      <c r="J9" s="172"/>
      <c r="K9" s="173">
        <v>46.39</v>
      </c>
      <c r="L9" s="174" t="s">
        <v>3</v>
      </c>
      <c r="M9" s="447" t="s">
        <v>236</v>
      </c>
      <c r="N9" s="429" t="s">
        <v>237</v>
      </c>
    </row>
    <row r="10" spans="1:14" ht="15.75">
      <c r="A10" s="175">
        <v>8</v>
      </c>
      <c r="B10" s="136">
        <v>44833</v>
      </c>
      <c r="C10" s="139"/>
      <c r="D10" s="130" t="s">
        <v>234</v>
      </c>
      <c r="E10" s="131" t="s">
        <v>259</v>
      </c>
      <c r="F10" s="157"/>
      <c r="G10" s="137"/>
      <c r="H10" s="154" t="s">
        <v>257</v>
      </c>
      <c r="I10" s="154" t="s">
        <v>258</v>
      </c>
      <c r="J10" s="124"/>
      <c r="K10" s="150">
        <v>77.48</v>
      </c>
      <c r="L10" s="162" t="s">
        <v>3</v>
      </c>
      <c r="M10" s="448"/>
      <c r="N10" s="429"/>
    </row>
    <row r="11" spans="1:14" ht="15.75">
      <c r="A11" s="176">
        <v>9</v>
      </c>
      <c r="B11" s="177">
        <v>44863</v>
      </c>
      <c r="C11" s="178"/>
      <c r="D11" s="179" t="s">
        <v>234</v>
      </c>
      <c r="E11" s="180" t="s">
        <v>260</v>
      </c>
      <c r="F11" s="181">
        <v>3128642226</v>
      </c>
      <c r="G11" s="182" t="s">
        <v>261</v>
      </c>
      <c r="H11" s="183" t="s">
        <v>257</v>
      </c>
      <c r="I11" s="183" t="s">
        <v>258</v>
      </c>
      <c r="J11" s="184"/>
      <c r="K11" s="185">
        <v>62</v>
      </c>
      <c r="L11" s="186" t="s">
        <v>3</v>
      </c>
      <c r="M11" s="449"/>
      <c r="N11" s="430"/>
    </row>
    <row r="12" spans="1:14" ht="15.75">
      <c r="A12" s="195">
        <v>10</v>
      </c>
      <c r="B12" s="128">
        <v>44832</v>
      </c>
      <c r="C12" s="129"/>
      <c r="D12" s="196" t="s">
        <v>262</v>
      </c>
      <c r="E12" s="142" t="s">
        <v>263</v>
      </c>
      <c r="F12" s="197">
        <v>4110075686</v>
      </c>
      <c r="G12" s="198" t="s">
        <v>261</v>
      </c>
      <c r="H12" s="154" t="s">
        <v>264</v>
      </c>
      <c r="I12" s="133" t="s">
        <v>265</v>
      </c>
      <c r="J12" s="123">
        <v>0</v>
      </c>
      <c r="K12" s="199">
        <v>0</v>
      </c>
      <c r="L12" s="198" t="s">
        <v>266</v>
      </c>
      <c r="M12" s="200" t="s">
        <v>267</v>
      </c>
      <c r="N12" s="218" t="s">
        <v>268</v>
      </c>
    </row>
    <row r="13" spans="1:14" ht="15.75">
      <c r="A13" s="195">
        <v>11</v>
      </c>
      <c r="B13" s="128">
        <v>44834</v>
      </c>
      <c r="C13" s="129"/>
      <c r="D13" s="196" t="s">
        <v>269</v>
      </c>
      <c r="E13" s="142" t="s">
        <v>270</v>
      </c>
      <c r="F13" s="197" t="s">
        <v>266</v>
      </c>
      <c r="G13" s="198" t="s">
        <v>271</v>
      </c>
      <c r="H13" s="133" t="s">
        <v>272</v>
      </c>
      <c r="I13" s="137" t="s">
        <v>265</v>
      </c>
      <c r="J13" s="123">
        <v>0</v>
      </c>
      <c r="K13" s="150">
        <v>173.16</v>
      </c>
      <c r="L13" s="198" t="s">
        <v>3</v>
      </c>
      <c r="M13" s="200" t="s">
        <v>273</v>
      </c>
      <c r="N13" s="140"/>
    </row>
    <row r="14" spans="1:14" ht="15.75">
      <c r="A14" s="195">
        <v>12</v>
      </c>
      <c r="B14" s="128">
        <v>44859</v>
      </c>
      <c r="C14" s="129"/>
      <c r="D14" s="196" t="s">
        <v>269</v>
      </c>
      <c r="E14" s="142" t="s">
        <v>274</v>
      </c>
      <c r="F14" s="197" t="s">
        <v>266</v>
      </c>
      <c r="G14" s="198" t="s">
        <v>271</v>
      </c>
      <c r="H14" s="133" t="s">
        <v>272</v>
      </c>
      <c r="I14" s="137"/>
      <c r="J14" s="123">
        <v>450</v>
      </c>
      <c r="K14" s="150">
        <v>2</v>
      </c>
      <c r="L14" s="198" t="s">
        <v>275</v>
      </c>
      <c r="M14" s="163"/>
      <c r="N14" s="140" t="s">
        <v>276</v>
      </c>
    </row>
    <row r="15" spans="1:14" ht="15.75">
      <c r="A15" s="9">
        <v>13</v>
      </c>
      <c r="B15" s="136">
        <v>44872</v>
      </c>
      <c r="C15" s="139"/>
      <c r="D15" s="130" t="s">
        <v>246</v>
      </c>
      <c r="E15" s="131" t="s">
        <v>277</v>
      </c>
      <c r="F15" s="157" t="s">
        <v>278</v>
      </c>
      <c r="G15" s="137" t="s">
        <v>248</v>
      </c>
      <c r="H15" s="154" t="s">
        <v>279</v>
      </c>
      <c r="I15" s="137"/>
      <c r="J15" s="124" t="s">
        <v>266</v>
      </c>
      <c r="K15" s="150" t="s">
        <v>266</v>
      </c>
      <c r="L15" s="137" t="s">
        <v>249</v>
      </c>
      <c r="M15" s="69"/>
      <c r="N15" s="205" t="s">
        <v>280</v>
      </c>
    </row>
    <row r="16" spans="1:14" ht="15.75">
      <c r="A16" s="9">
        <v>14</v>
      </c>
      <c r="B16" s="136">
        <v>44905</v>
      </c>
      <c r="C16" s="139"/>
      <c r="D16" s="130" t="s">
        <v>281</v>
      </c>
      <c r="E16" s="131" t="s">
        <v>282</v>
      </c>
      <c r="F16" s="157">
        <v>8367570024</v>
      </c>
      <c r="G16" s="137" t="s">
        <v>261</v>
      </c>
      <c r="H16" s="154" t="s">
        <v>283</v>
      </c>
      <c r="I16" s="137" t="s">
        <v>258</v>
      </c>
      <c r="J16" s="124">
        <v>12592</v>
      </c>
      <c r="K16" s="150">
        <v>62.04</v>
      </c>
      <c r="L16" s="137" t="s">
        <v>275</v>
      </c>
      <c r="M16" s="208" t="s">
        <v>284</v>
      </c>
      <c r="N16" s="140" t="s">
        <v>285</v>
      </c>
    </row>
    <row r="17" spans="1:14" ht="15.75">
      <c r="A17" s="9">
        <v>15</v>
      </c>
      <c r="B17" s="136">
        <v>44896</v>
      </c>
      <c r="C17" s="139"/>
      <c r="D17" s="130" t="s">
        <v>234</v>
      </c>
      <c r="E17" s="131" t="s">
        <v>286</v>
      </c>
      <c r="F17" s="157">
        <v>391015075857</v>
      </c>
      <c r="G17" s="137" t="s">
        <v>233</v>
      </c>
      <c r="H17" s="154" t="s">
        <v>257</v>
      </c>
      <c r="I17" s="137" t="s">
        <v>258</v>
      </c>
      <c r="J17" s="124">
        <v>2245</v>
      </c>
      <c r="K17" s="150">
        <v>10</v>
      </c>
      <c r="L17" s="137" t="s">
        <v>3</v>
      </c>
      <c r="M17" s="161" t="s">
        <v>236</v>
      </c>
      <c r="N17" s="205" t="s">
        <v>237</v>
      </c>
    </row>
    <row r="18" spans="1:14" ht="15.75">
      <c r="A18" s="9">
        <v>16</v>
      </c>
      <c r="B18" s="136">
        <v>44902</v>
      </c>
      <c r="C18" s="139"/>
      <c r="D18" s="130" t="s">
        <v>287</v>
      </c>
      <c r="E18" s="131" t="s">
        <v>288</v>
      </c>
      <c r="F18" s="157">
        <v>391392530638</v>
      </c>
      <c r="G18" s="137" t="s">
        <v>233</v>
      </c>
      <c r="H18" s="154" t="s">
        <v>289</v>
      </c>
      <c r="I18" s="137"/>
      <c r="J18" s="124">
        <v>12163</v>
      </c>
      <c r="K18" s="150">
        <v>57.78</v>
      </c>
      <c r="L18" s="137" t="s">
        <v>275</v>
      </c>
      <c r="M18" s="208" t="s">
        <v>290</v>
      </c>
      <c r="N18" s="140" t="s">
        <v>291</v>
      </c>
    </row>
    <row r="19" spans="1:14" ht="15.75">
      <c r="A19" s="9">
        <v>17</v>
      </c>
      <c r="B19" s="136">
        <v>44902</v>
      </c>
      <c r="C19" s="139"/>
      <c r="D19" s="130" t="s">
        <v>234</v>
      </c>
      <c r="E19" s="131" t="s">
        <v>292</v>
      </c>
      <c r="F19" s="157">
        <v>9666147595</v>
      </c>
      <c r="G19" s="137" t="s">
        <v>261</v>
      </c>
      <c r="H19" s="154" t="s">
        <v>257</v>
      </c>
      <c r="I19" s="137" t="s">
        <v>258</v>
      </c>
      <c r="J19" s="125">
        <v>18881</v>
      </c>
      <c r="K19" s="150">
        <v>84.1</v>
      </c>
      <c r="L19" s="137" t="s">
        <v>3</v>
      </c>
      <c r="M19" s="161" t="s">
        <v>236</v>
      </c>
      <c r="N19" s="205" t="s">
        <v>237</v>
      </c>
    </row>
    <row r="20" spans="1:14" ht="15.75">
      <c r="A20" s="9">
        <v>18</v>
      </c>
      <c r="B20" s="136"/>
      <c r="C20" s="139">
        <v>44910</v>
      </c>
      <c r="D20" s="130" t="s">
        <v>234</v>
      </c>
      <c r="E20" s="131" t="s">
        <v>293</v>
      </c>
      <c r="F20" s="157" t="s">
        <v>294</v>
      </c>
      <c r="G20" s="137" t="s">
        <v>295</v>
      </c>
      <c r="H20" s="154" t="s">
        <v>257</v>
      </c>
      <c r="I20" s="137"/>
      <c r="J20" s="124">
        <v>25020</v>
      </c>
      <c r="K20" s="151">
        <v>120.83</v>
      </c>
      <c r="L20" s="137" t="s">
        <v>275</v>
      </c>
      <c r="M20" s="208" t="s">
        <v>296</v>
      </c>
      <c r="N20" s="140" t="s">
        <v>297</v>
      </c>
    </row>
    <row r="21" spans="1:14" ht="15.75">
      <c r="A21" s="9">
        <v>19</v>
      </c>
      <c r="B21" s="136"/>
      <c r="C21" s="139">
        <v>44911</v>
      </c>
      <c r="D21" s="130" t="s">
        <v>246</v>
      </c>
      <c r="E21" s="142" t="s">
        <v>298</v>
      </c>
      <c r="F21" s="157" t="s">
        <v>299</v>
      </c>
      <c r="G21" s="137" t="s">
        <v>295</v>
      </c>
      <c r="H21" s="154" t="s">
        <v>279</v>
      </c>
      <c r="I21" s="137" t="s">
        <v>258</v>
      </c>
      <c r="J21" s="124">
        <v>40500</v>
      </c>
      <c r="K21" s="151">
        <v>195.16</v>
      </c>
      <c r="L21" s="137" t="s">
        <v>3</v>
      </c>
      <c r="M21" s="208" t="s">
        <v>300</v>
      </c>
      <c r="N21" s="209" t="s">
        <v>301</v>
      </c>
    </row>
    <row r="22" spans="1:14" ht="15.75">
      <c r="A22" s="9">
        <v>20</v>
      </c>
      <c r="B22" s="136"/>
      <c r="C22" s="139">
        <v>44915</v>
      </c>
      <c r="D22" s="130" t="s">
        <v>234</v>
      </c>
      <c r="E22" s="142" t="s">
        <v>302</v>
      </c>
      <c r="F22" s="157"/>
      <c r="G22" s="137" t="s">
        <v>295</v>
      </c>
      <c r="H22" s="210" t="s">
        <v>257</v>
      </c>
      <c r="I22" s="137" t="s">
        <v>265</v>
      </c>
      <c r="J22" s="124">
        <v>12300</v>
      </c>
      <c r="K22" s="151">
        <v>63.56</v>
      </c>
      <c r="L22" s="137" t="s">
        <v>275</v>
      </c>
      <c r="M22" s="211" t="s">
        <v>303</v>
      </c>
      <c r="N22" s="143" t="s">
        <v>275</v>
      </c>
    </row>
    <row r="23" spans="1:14" ht="15.75">
      <c r="A23" s="9">
        <v>21</v>
      </c>
      <c r="B23" s="136">
        <v>44921</v>
      </c>
      <c r="C23" s="139"/>
      <c r="D23" s="130" t="s">
        <v>269</v>
      </c>
      <c r="E23" s="142" t="s">
        <v>304</v>
      </c>
      <c r="F23" s="157">
        <v>5531422573</v>
      </c>
      <c r="G23" s="137" t="s">
        <v>261</v>
      </c>
      <c r="H23" s="137"/>
      <c r="I23" s="137" t="s">
        <v>265</v>
      </c>
      <c r="J23" s="124">
        <v>6884.73</v>
      </c>
      <c r="K23" s="151">
        <v>33.1</v>
      </c>
      <c r="L23" s="137" t="s">
        <v>275</v>
      </c>
      <c r="M23" s="211" t="s">
        <v>305</v>
      </c>
      <c r="N23" s="143" t="s">
        <v>306</v>
      </c>
    </row>
    <row r="24" spans="1:14" ht="15.75">
      <c r="A24" s="9">
        <v>22</v>
      </c>
      <c r="B24" s="136"/>
      <c r="C24" s="139"/>
      <c r="D24" s="130"/>
      <c r="E24" s="142"/>
      <c r="F24" s="157"/>
      <c r="G24" s="137"/>
      <c r="H24" s="137"/>
      <c r="I24" s="137"/>
      <c r="J24" s="124"/>
      <c r="K24" s="151"/>
      <c r="L24" s="137"/>
      <c r="M24" s="120"/>
      <c r="N24" s="143"/>
    </row>
    <row r="25" spans="1:14" ht="15.75">
      <c r="A25" s="9">
        <v>23</v>
      </c>
      <c r="B25" s="136"/>
      <c r="C25" s="139"/>
      <c r="D25" s="130"/>
      <c r="E25" s="142"/>
      <c r="F25" s="157"/>
      <c r="G25" s="137"/>
      <c r="H25" s="137"/>
      <c r="I25" s="137"/>
      <c r="J25" s="124"/>
      <c r="K25" s="151"/>
      <c r="L25" s="137"/>
      <c r="M25" s="120"/>
      <c r="N25" s="143"/>
    </row>
    <row r="26" spans="1:14" ht="15.75" customHeight="1">
      <c r="A26" s="9">
        <v>24</v>
      </c>
      <c r="B26" s="136"/>
      <c r="C26" s="139"/>
      <c r="D26" s="130"/>
      <c r="E26" s="141"/>
      <c r="F26" s="157"/>
      <c r="G26" s="137"/>
      <c r="H26" s="137"/>
      <c r="I26" s="137"/>
      <c r="J26" s="124"/>
      <c r="K26" s="151"/>
      <c r="L26" s="137"/>
      <c r="M26" s="120"/>
      <c r="N26" s="143"/>
    </row>
    <row r="27" spans="1:14" ht="15.75" customHeight="1">
      <c r="A27" s="9">
        <v>25</v>
      </c>
      <c r="B27" s="136"/>
      <c r="C27" s="139"/>
      <c r="D27" s="130"/>
      <c r="E27" s="131"/>
      <c r="F27" s="157"/>
      <c r="G27" s="137"/>
      <c r="H27" s="137"/>
      <c r="I27" s="137"/>
      <c r="J27" s="124"/>
      <c r="K27" s="151"/>
      <c r="L27" s="137"/>
      <c r="M27" s="120"/>
      <c r="N27" s="140"/>
    </row>
    <row r="28" spans="1:14" ht="15.75" customHeight="1">
      <c r="A28" s="9"/>
      <c r="B28" s="136"/>
      <c r="C28" s="139"/>
      <c r="D28" s="130"/>
      <c r="E28" s="131"/>
      <c r="F28" s="157"/>
      <c r="G28" s="137"/>
      <c r="H28" s="137"/>
      <c r="I28" s="137"/>
      <c r="J28" s="124"/>
      <c r="K28" s="151"/>
      <c r="L28" s="137"/>
      <c r="M28" s="120"/>
      <c r="N28" s="140"/>
    </row>
    <row r="29" spans="1:14" ht="15.75" customHeight="1">
      <c r="A29" s="9"/>
      <c r="B29" s="136"/>
      <c r="C29" s="139"/>
      <c r="D29" s="130"/>
      <c r="E29" s="131"/>
      <c r="F29" s="157"/>
      <c r="G29" s="137"/>
      <c r="H29" s="137"/>
      <c r="I29" s="137"/>
      <c r="J29" s="126"/>
      <c r="K29" s="151"/>
      <c r="L29" s="137"/>
      <c r="M29" s="120"/>
      <c r="N29" s="143"/>
    </row>
    <row r="30" spans="1:14" ht="15.75" customHeight="1">
      <c r="A30" s="9"/>
      <c r="B30" s="136"/>
      <c r="C30" s="139"/>
      <c r="D30" s="130"/>
      <c r="E30" s="131"/>
      <c r="F30" s="157"/>
      <c r="G30" s="137"/>
      <c r="H30" s="137"/>
      <c r="I30" s="137"/>
      <c r="J30" s="127"/>
      <c r="K30" s="151"/>
      <c r="L30" s="137"/>
      <c r="M30" s="120"/>
      <c r="N30" s="140"/>
    </row>
    <row r="31" spans="1:14" ht="15.75" customHeight="1">
      <c r="A31" s="9"/>
      <c r="B31" s="136"/>
      <c r="C31" s="139"/>
      <c r="D31" s="130"/>
      <c r="E31" s="131"/>
      <c r="F31" s="157"/>
      <c r="G31" s="137"/>
      <c r="H31" s="137"/>
      <c r="I31" s="137"/>
      <c r="J31" s="127"/>
      <c r="K31" s="151"/>
      <c r="L31" s="144"/>
      <c r="M31" s="120"/>
      <c r="N31" s="140"/>
    </row>
    <row r="32" spans="1:14" ht="15.75" customHeight="1">
      <c r="A32" s="9"/>
      <c r="B32" s="136"/>
      <c r="C32" s="139"/>
      <c r="D32" s="130"/>
      <c r="E32" s="142"/>
      <c r="F32" s="157"/>
      <c r="G32" s="137"/>
      <c r="H32" s="137"/>
      <c r="I32" s="137"/>
      <c r="J32" s="127"/>
      <c r="K32" s="151"/>
      <c r="L32" s="144"/>
      <c r="M32" s="120"/>
      <c r="N32" s="140"/>
    </row>
    <row r="33" spans="1:14" ht="15.75" customHeight="1">
      <c r="A33" s="9"/>
      <c r="B33" s="136"/>
      <c r="C33" s="139"/>
      <c r="D33" s="130"/>
      <c r="E33" s="142"/>
      <c r="F33" s="157"/>
      <c r="G33" s="137"/>
      <c r="H33" s="137"/>
      <c r="I33" s="137"/>
      <c r="J33" s="127"/>
      <c r="K33" s="151"/>
      <c r="L33" s="144"/>
      <c r="M33" s="120"/>
      <c r="N33" s="140"/>
    </row>
    <row r="34" spans="1:14" ht="15.75" customHeight="1">
      <c r="A34" s="9"/>
      <c r="B34" s="136"/>
      <c r="C34" s="139"/>
      <c r="D34" s="130"/>
      <c r="E34" s="142"/>
      <c r="F34" s="157"/>
      <c r="G34" s="137"/>
      <c r="H34" s="137"/>
      <c r="I34" s="137"/>
      <c r="J34" s="127"/>
      <c r="K34" s="151"/>
      <c r="L34" s="144"/>
      <c r="M34" s="120"/>
      <c r="N34" s="140"/>
    </row>
    <row r="35" spans="1:14" ht="15.75" customHeight="1">
      <c r="A35" s="9"/>
      <c r="B35" s="136"/>
      <c r="C35" s="139"/>
      <c r="D35" s="130"/>
      <c r="E35" s="141"/>
      <c r="F35" s="158"/>
      <c r="G35" s="145"/>
      <c r="H35" s="145"/>
      <c r="I35" s="145"/>
      <c r="J35" s="127"/>
      <c r="K35" s="151"/>
      <c r="L35" s="144"/>
      <c r="M35" s="118"/>
      <c r="N35" s="140"/>
    </row>
    <row r="36" spans="1:14" ht="15.75" customHeight="1">
      <c r="A36" s="9"/>
      <c r="B36" s="136"/>
      <c r="C36" s="139"/>
      <c r="D36" s="130"/>
      <c r="E36" s="141"/>
      <c r="F36" s="158"/>
      <c r="G36" s="145"/>
      <c r="H36" s="145"/>
      <c r="I36" s="145"/>
      <c r="J36" s="127"/>
      <c r="K36" s="151"/>
      <c r="L36" s="137"/>
      <c r="M36" s="118"/>
      <c r="N36" s="140"/>
    </row>
    <row r="37" spans="1:14" ht="15.75" customHeight="1">
      <c r="A37" s="63"/>
      <c r="B37" s="83"/>
      <c r="C37" s="84"/>
      <c r="D37" s="58"/>
      <c r="E37" s="82"/>
      <c r="F37" s="159"/>
      <c r="G37" s="59"/>
      <c r="H37" s="59"/>
      <c r="I37" s="59"/>
      <c r="J37" s="68"/>
      <c r="K37" s="152"/>
      <c r="L37" s="59"/>
      <c r="M37" s="118"/>
      <c r="N37" s="69"/>
    </row>
    <row r="38" spans="1:14" ht="15.75" customHeight="1">
      <c r="A38" s="63"/>
      <c r="B38" s="83"/>
      <c r="C38" s="84"/>
      <c r="D38" s="58"/>
      <c r="E38" s="82"/>
      <c r="F38" s="159"/>
      <c r="G38" s="59"/>
      <c r="H38" s="59"/>
      <c r="I38" s="59"/>
      <c r="J38" s="68"/>
      <c r="K38" s="118"/>
      <c r="L38" s="59"/>
      <c r="M38" s="118"/>
      <c r="N38" s="69"/>
    </row>
    <row r="39" spans="1:14" ht="15.75" customHeight="1">
      <c r="A39" s="63"/>
      <c r="B39" s="83"/>
      <c r="C39" s="84"/>
      <c r="D39" s="58"/>
      <c r="E39" s="86"/>
      <c r="F39" s="159"/>
      <c r="G39" s="59"/>
      <c r="H39" s="59"/>
      <c r="I39" s="59"/>
      <c r="J39" s="68"/>
      <c r="K39" s="118"/>
      <c r="L39" s="59"/>
      <c r="M39" s="118"/>
      <c r="N39" s="69"/>
    </row>
    <row r="40" spans="1:14" ht="15.75" customHeight="1">
      <c r="A40" s="63"/>
      <c r="B40" s="83"/>
      <c r="C40" s="84"/>
      <c r="D40" s="58"/>
      <c r="E40" s="85"/>
      <c r="F40" s="159"/>
      <c r="G40" s="59"/>
      <c r="H40" s="59"/>
      <c r="I40" s="59"/>
      <c r="J40" s="68"/>
      <c r="K40" s="118"/>
      <c r="L40" s="59"/>
      <c r="M40" s="118"/>
      <c r="N40" s="69"/>
    </row>
    <row r="41" spans="1:14" ht="15.75" customHeight="1">
      <c r="A41" s="63"/>
      <c r="B41" s="83"/>
      <c r="C41" s="84"/>
      <c r="D41" s="58"/>
      <c r="E41" s="85"/>
      <c r="F41" s="87"/>
      <c r="G41" s="87"/>
      <c r="H41" s="87"/>
      <c r="I41" s="87"/>
      <c r="J41" s="68"/>
      <c r="K41" s="118"/>
      <c r="L41" s="59"/>
      <c r="M41" s="160"/>
    </row>
    <row r="42" spans="1:14" ht="15.75" customHeight="1">
      <c r="A42" s="63"/>
      <c r="B42" s="83"/>
      <c r="C42" s="84"/>
      <c r="D42" s="58"/>
      <c r="E42" s="82"/>
      <c r="F42" s="59"/>
      <c r="G42" s="59"/>
      <c r="H42" s="59"/>
      <c r="I42" s="59"/>
      <c r="J42" s="68"/>
      <c r="K42" s="118"/>
      <c r="L42" s="59"/>
      <c r="M42" s="118"/>
      <c r="N42" s="62"/>
    </row>
    <row r="43" spans="1:14" ht="15.75" customHeight="1">
      <c r="A43" s="63"/>
      <c r="B43" s="83"/>
      <c r="C43" s="84"/>
      <c r="D43" s="58"/>
      <c r="E43" s="82"/>
      <c r="F43" s="59"/>
      <c r="G43" s="59"/>
      <c r="H43" s="59"/>
      <c r="I43" s="59"/>
      <c r="J43" s="68"/>
      <c r="K43" s="118"/>
      <c r="L43" s="59"/>
      <c r="M43" s="118"/>
      <c r="N43" s="72"/>
    </row>
    <row r="44" spans="1:14" ht="15.75" customHeight="1">
      <c r="A44" s="63"/>
      <c r="B44" s="83"/>
      <c r="C44" s="84"/>
      <c r="D44" s="58"/>
      <c r="E44" s="82"/>
      <c r="F44" s="59"/>
      <c r="G44" s="59"/>
      <c r="H44" s="59"/>
      <c r="I44" s="59"/>
      <c r="J44" s="68"/>
      <c r="K44" s="118"/>
      <c r="L44" s="59"/>
      <c r="M44" s="118"/>
      <c r="N44" s="69"/>
    </row>
    <row r="45" spans="1:14" ht="15.75" customHeight="1">
      <c r="A45" s="63"/>
      <c r="B45" s="83"/>
      <c r="C45" s="84"/>
      <c r="D45" s="58"/>
      <c r="E45" s="85"/>
      <c r="F45" s="59"/>
      <c r="G45" s="59"/>
      <c r="H45" s="59"/>
      <c r="I45" s="59"/>
      <c r="J45" s="68"/>
      <c r="K45" s="118"/>
      <c r="L45" s="59"/>
      <c r="M45" s="118"/>
      <c r="N45" s="69"/>
    </row>
    <row r="46" spans="1:14" ht="15.75" customHeight="1">
      <c r="A46" s="63"/>
      <c r="B46" s="83"/>
      <c r="C46" s="84"/>
      <c r="D46" s="58"/>
      <c r="E46" s="82"/>
      <c r="F46" s="59"/>
      <c r="G46" s="59"/>
      <c r="H46" s="59"/>
      <c r="I46" s="59"/>
      <c r="J46" s="68"/>
      <c r="K46" s="118"/>
      <c r="L46" s="59"/>
      <c r="M46" s="118"/>
      <c r="N46" s="69"/>
    </row>
    <row r="47" spans="1:14" ht="15.75" customHeight="1">
      <c r="A47" s="63"/>
      <c r="B47" s="83"/>
      <c r="C47" s="84"/>
      <c r="D47" s="58"/>
      <c r="E47" s="82"/>
      <c r="F47" s="59"/>
      <c r="G47" s="59"/>
      <c r="H47" s="59"/>
      <c r="I47" s="59"/>
      <c r="J47" s="68"/>
      <c r="K47" s="118"/>
      <c r="L47" s="59"/>
      <c r="M47" s="118"/>
      <c r="N47" s="69"/>
    </row>
    <row r="48" spans="1:14" ht="15.75" customHeight="1">
      <c r="A48" s="63"/>
      <c r="B48" s="83"/>
      <c r="C48" s="84"/>
      <c r="D48" s="58"/>
      <c r="E48" s="82"/>
      <c r="F48" s="59"/>
      <c r="G48" s="59"/>
      <c r="H48" s="59"/>
      <c r="I48" s="59"/>
      <c r="J48" s="68"/>
      <c r="K48" s="118"/>
      <c r="L48" s="59"/>
      <c r="M48" s="118"/>
      <c r="N48" s="69"/>
    </row>
    <row r="49" spans="1:14" ht="15.75" customHeight="1">
      <c r="A49" s="63"/>
      <c r="B49" s="83"/>
      <c r="C49" s="84"/>
      <c r="D49" s="58"/>
      <c r="E49" s="82"/>
      <c r="F49" s="59"/>
      <c r="G49" s="59"/>
      <c r="H49" s="59"/>
      <c r="I49" s="59"/>
      <c r="J49" s="68"/>
      <c r="K49" s="118"/>
      <c r="L49" s="59"/>
      <c r="M49" s="118"/>
      <c r="N49" s="69"/>
    </row>
    <row r="50" spans="1:14" ht="15.75" customHeight="1">
      <c r="A50" s="88"/>
      <c r="B50" s="89"/>
      <c r="C50" s="90"/>
      <c r="D50" s="91"/>
      <c r="E50" s="92"/>
      <c r="F50" s="93"/>
      <c r="G50" s="93"/>
      <c r="H50" s="94"/>
      <c r="I50" s="94"/>
      <c r="J50" s="95"/>
      <c r="K50" s="119"/>
      <c r="L50" s="94"/>
      <c r="M50" s="119"/>
      <c r="N50" s="69"/>
    </row>
    <row r="51" spans="1:14" ht="15.75" customHeight="1">
      <c r="A51" s="96"/>
      <c r="B51" s="96"/>
      <c r="C51" s="96"/>
      <c r="D51" s="96"/>
      <c r="E51" s="96"/>
      <c r="F51" s="96"/>
      <c r="G51" s="96"/>
      <c r="H51" s="96"/>
      <c r="I51" s="96"/>
      <c r="J51" s="98">
        <f>SUM(J3:J50)</f>
        <v>292034.73</v>
      </c>
      <c r="K51" s="98"/>
      <c r="L51" s="97" t="s">
        <v>123</v>
      </c>
      <c r="M51" s="98"/>
      <c r="N51" s="99"/>
    </row>
    <row r="52" spans="1:14" ht="15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98">
        <f>SUMIF(J3:J50,L52,J3:J50)</f>
        <v>0</v>
      </c>
      <c r="K52" s="98"/>
      <c r="L52" s="101" t="s">
        <v>179</v>
      </c>
      <c r="M52" s="98"/>
      <c r="N52" s="99"/>
    </row>
    <row r="53" spans="1:14" ht="15.75" hidden="1" customHeight="1">
      <c r="A53" s="102"/>
      <c r="B53" s="102"/>
      <c r="C53" s="102"/>
      <c r="D53" s="102"/>
      <c r="E53" s="102"/>
      <c r="F53" s="102"/>
      <c r="G53" s="102"/>
      <c r="H53" s="102"/>
      <c r="I53" s="102"/>
      <c r="J53" s="98">
        <f>SUMIF(J3:J50,L53,J3:J50)</f>
        <v>0</v>
      </c>
      <c r="K53" s="98"/>
      <c r="L53" s="103" t="s">
        <v>183</v>
      </c>
      <c r="M53" s="98"/>
      <c r="N53" s="99"/>
    </row>
    <row r="54" spans="1:14" ht="15.75" hidden="1" customHeight="1">
      <c r="A54" s="104">
        <v>33</v>
      </c>
      <c r="B54" s="57"/>
      <c r="C54" s="105"/>
      <c r="D54" s="106"/>
      <c r="E54" s="107"/>
      <c r="F54" s="107"/>
      <c r="G54" s="107"/>
      <c r="H54" s="107"/>
      <c r="I54" s="107"/>
      <c r="J54" s="67"/>
      <c r="K54" s="115"/>
      <c r="L54" s="107"/>
      <c r="M54" s="115"/>
      <c r="N54" s="69"/>
    </row>
    <row r="55" spans="1:14" ht="15.75" hidden="1" customHeight="1">
      <c r="A55" s="63">
        <v>34</v>
      </c>
      <c r="B55" s="64"/>
      <c r="C55" s="108"/>
      <c r="D55" s="58"/>
      <c r="E55" s="59"/>
      <c r="F55" s="59"/>
      <c r="G55" s="59"/>
      <c r="H55" s="59"/>
      <c r="I55" s="59"/>
      <c r="J55" s="68"/>
      <c r="K55" s="99"/>
      <c r="L55" s="59"/>
      <c r="M55" s="99"/>
      <c r="N55" s="72"/>
    </row>
    <row r="56" spans="1:14" ht="15.75" hidden="1" customHeight="1">
      <c r="A56" s="63">
        <v>35</v>
      </c>
      <c r="B56" s="64"/>
      <c r="C56" s="108"/>
      <c r="D56" s="58"/>
      <c r="E56" s="59"/>
      <c r="F56" s="59"/>
      <c r="G56" s="59"/>
      <c r="H56" s="59"/>
      <c r="I56" s="59"/>
      <c r="J56" s="68"/>
      <c r="K56" s="99"/>
      <c r="L56" s="59"/>
      <c r="M56" s="99"/>
      <c r="N56" s="72"/>
    </row>
    <row r="57" spans="1:14" ht="15.75" hidden="1" customHeight="1">
      <c r="A57" s="63">
        <v>36</v>
      </c>
      <c r="B57" s="64"/>
      <c r="C57" s="108"/>
      <c r="D57" s="58"/>
      <c r="E57" s="60"/>
      <c r="F57" s="59"/>
      <c r="G57" s="59"/>
      <c r="H57" s="59"/>
      <c r="I57" s="59"/>
      <c r="J57" s="68"/>
      <c r="K57" s="99"/>
      <c r="L57" s="59"/>
      <c r="M57" s="99"/>
      <c r="N57" s="72"/>
    </row>
    <row r="58" spans="1:14" ht="15.75" hidden="1" customHeight="1">
      <c r="A58" s="63">
        <v>37</v>
      </c>
      <c r="B58" s="64"/>
      <c r="C58" s="108"/>
      <c r="D58" s="58"/>
      <c r="E58" s="59"/>
      <c r="F58" s="59"/>
      <c r="G58" s="59"/>
      <c r="H58" s="59"/>
      <c r="I58" s="59"/>
      <c r="J58" s="68"/>
      <c r="K58" s="99"/>
      <c r="L58" s="59"/>
      <c r="M58" s="99"/>
      <c r="N58" s="72"/>
    </row>
    <row r="59" spans="1:14" ht="15.75" hidden="1" customHeight="1">
      <c r="A59" s="63">
        <v>38</v>
      </c>
      <c r="B59" s="64"/>
      <c r="C59" s="108"/>
      <c r="D59" s="58"/>
      <c r="E59" s="59"/>
      <c r="F59" s="59"/>
      <c r="G59" s="59"/>
      <c r="H59" s="59"/>
      <c r="I59" s="59"/>
      <c r="J59" s="68"/>
      <c r="K59" s="99"/>
      <c r="L59" s="59"/>
      <c r="M59" s="99"/>
      <c r="N59" s="72"/>
    </row>
    <row r="60" spans="1:14" ht="15.75" hidden="1" customHeight="1">
      <c r="A60" s="63">
        <v>39</v>
      </c>
      <c r="B60" s="64"/>
      <c r="C60" s="108"/>
      <c r="D60" s="58"/>
      <c r="E60" s="59"/>
      <c r="F60" s="59"/>
      <c r="G60" s="59"/>
      <c r="H60" s="59"/>
      <c r="I60" s="59"/>
      <c r="J60" s="68"/>
      <c r="K60" s="99"/>
      <c r="L60" s="59"/>
      <c r="M60" s="99"/>
      <c r="N60" s="72"/>
    </row>
    <row r="61" spans="1:14" ht="15.75" hidden="1" customHeight="1">
      <c r="A61" s="63">
        <v>40</v>
      </c>
      <c r="B61" s="64"/>
      <c r="C61" s="108"/>
      <c r="D61" s="58"/>
      <c r="E61" s="59"/>
      <c r="F61" s="59"/>
      <c r="G61" s="59"/>
      <c r="H61" s="59"/>
      <c r="I61" s="59"/>
      <c r="J61" s="68"/>
      <c r="K61" s="99"/>
      <c r="L61" s="59"/>
      <c r="M61" s="99"/>
      <c r="N61" s="72"/>
    </row>
    <row r="62" spans="1:14" ht="15.75" hidden="1" customHeight="1">
      <c r="A62" s="63">
        <v>41</v>
      </c>
      <c r="B62" s="64"/>
      <c r="C62" s="108"/>
      <c r="D62" s="58"/>
      <c r="E62" s="60"/>
      <c r="F62" s="59"/>
      <c r="G62" s="59"/>
      <c r="H62" s="59"/>
      <c r="I62" s="59"/>
      <c r="J62" s="68"/>
      <c r="K62" s="99"/>
      <c r="L62" s="59"/>
      <c r="M62" s="99"/>
      <c r="N62" s="72"/>
    </row>
    <row r="63" spans="1:14" ht="15.75" hidden="1" customHeight="1">
      <c r="A63" s="63">
        <v>42</v>
      </c>
      <c r="B63" s="64"/>
      <c r="C63" s="108"/>
      <c r="D63" s="58"/>
      <c r="E63" s="59"/>
      <c r="F63" s="59"/>
      <c r="G63" s="59"/>
      <c r="H63" s="59"/>
      <c r="I63" s="59"/>
      <c r="J63" s="68"/>
      <c r="K63" s="99"/>
      <c r="L63" s="59"/>
      <c r="M63" s="99"/>
      <c r="N63" s="72"/>
    </row>
    <row r="64" spans="1:14" ht="15.75" hidden="1" customHeight="1">
      <c r="A64" s="63">
        <v>43</v>
      </c>
      <c r="B64" s="64"/>
      <c r="C64" s="109"/>
      <c r="D64" s="73"/>
      <c r="E64" s="59"/>
      <c r="F64" s="74"/>
      <c r="G64" s="74"/>
      <c r="H64" s="74"/>
      <c r="I64" s="74"/>
      <c r="J64" s="75"/>
      <c r="K64" s="116"/>
      <c r="L64" s="74"/>
      <c r="M64" s="116"/>
      <c r="N64" s="76"/>
    </row>
    <row r="65" spans="1:14" ht="15.75" hidden="1" customHeight="1">
      <c r="A65" s="63">
        <v>44</v>
      </c>
      <c r="B65" s="64"/>
      <c r="C65" s="108"/>
      <c r="D65" s="58"/>
      <c r="E65" s="59"/>
      <c r="F65" s="59"/>
      <c r="G65" s="59"/>
      <c r="H65" s="59"/>
      <c r="I65" s="59"/>
      <c r="J65" s="68"/>
      <c r="K65" s="99"/>
      <c r="L65" s="59"/>
      <c r="M65" s="99"/>
      <c r="N65" s="72"/>
    </row>
    <row r="66" spans="1:14" ht="15.75" hidden="1" customHeight="1">
      <c r="A66" s="63">
        <v>45</v>
      </c>
      <c r="B66" s="64"/>
      <c r="C66" s="108"/>
      <c r="D66" s="58"/>
      <c r="E66" s="59"/>
      <c r="F66" s="59"/>
      <c r="G66" s="59"/>
      <c r="H66" s="59"/>
      <c r="I66" s="59"/>
      <c r="J66" s="68"/>
      <c r="K66" s="99"/>
      <c r="L66" s="59"/>
      <c r="M66" s="99"/>
      <c r="N66" s="72"/>
    </row>
    <row r="67" spans="1:14" ht="15.75" hidden="1" customHeight="1">
      <c r="A67" s="63">
        <v>46</v>
      </c>
      <c r="B67" s="64"/>
      <c r="C67" s="108"/>
      <c r="D67" s="58"/>
      <c r="E67" s="60"/>
      <c r="F67" s="59"/>
      <c r="G67" s="59"/>
      <c r="H67" s="59"/>
      <c r="I67" s="59"/>
      <c r="J67" s="77"/>
      <c r="K67" s="117"/>
      <c r="L67" s="59"/>
      <c r="M67" s="117"/>
      <c r="N67" s="72"/>
    </row>
    <row r="68" spans="1:14" ht="15.75" hidden="1" customHeight="1">
      <c r="A68" s="63">
        <v>47</v>
      </c>
      <c r="B68" s="64"/>
      <c r="C68" s="108"/>
      <c r="D68" s="58"/>
      <c r="E68" s="59"/>
      <c r="F68" s="59"/>
      <c r="G68" s="59"/>
      <c r="H68" s="59"/>
      <c r="I68" s="59"/>
      <c r="J68" s="68"/>
      <c r="K68" s="99"/>
      <c r="L68" s="59"/>
      <c r="M68" s="99"/>
      <c r="N68" s="72"/>
    </row>
    <row r="69" spans="1:14" ht="15.75" hidden="1" customHeight="1">
      <c r="A69" s="63">
        <v>48</v>
      </c>
      <c r="B69" s="64"/>
      <c r="C69" s="108"/>
      <c r="D69" s="58"/>
      <c r="E69" s="59"/>
      <c r="F69" s="59"/>
      <c r="G69" s="59"/>
      <c r="H69" s="59"/>
      <c r="I69" s="59"/>
      <c r="J69" s="68"/>
      <c r="K69" s="99"/>
      <c r="L69" s="59"/>
      <c r="M69" s="99"/>
      <c r="N69" s="72"/>
    </row>
    <row r="70" spans="1:14" ht="15.75" hidden="1" customHeight="1">
      <c r="A70" s="63">
        <v>49</v>
      </c>
      <c r="B70" s="64"/>
      <c r="C70" s="108"/>
      <c r="D70" s="58"/>
      <c r="E70" s="59"/>
      <c r="F70" s="59"/>
      <c r="G70" s="59"/>
      <c r="H70" s="59"/>
      <c r="I70" s="59"/>
      <c r="J70" s="68"/>
      <c r="K70" s="99"/>
      <c r="L70" s="59"/>
      <c r="M70" s="99"/>
      <c r="N70" s="72"/>
    </row>
    <row r="71" spans="1:14" ht="15.75" hidden="1" customHeight="1">
      <c r="A71" s="63">
        <v>50</v>
      </c>
      <c r="B71" s="64"/>
      <c r="C71" s="108"/>
      <c r="D71" s="58"/>
      <c r="E71" s="59"/>
      <c r="F71" s="59"/>
      <c r="G71" s="59"/>
      <c r="H71" s="59"/>
      <c r="I71" s="59"/>
      <c r="J71" s="68"/>
      <c r="K71" s="99"/>
      <c r="L71" s="59"/>
      <c r="M71" s="99"/>
      <c r="N71" s="72"/>
    </row>
    <row r="72" spans="1:14" ht="15.75" hidden="1" customHeight="1">
      <c r="A72" s="63">
        <v>51</v>
      </c>
      <c r="B72" s="64"/>
      <c r="C72" s="108"/>
      <c r="D72" s="58"/>
      <c r="E72" s="60"/>
      <c r="F72" s="59"/>
      <c r="G72" s="59"/>
      <c r="H72" s="59"/>
      <c r="I72" s="59"/>
      <c r="J72" s="68"/>
      <c r="K72" s="99"/>
      <c r="L72" s="59"/>
      <c r="M72" s="99"/>
      <c r="N72" s="72"/>
    </row>
    <row r="73" spans="1:14" ht="15.75" hidden="1" customHeight="1">
      <c r="A73" s="63">
        <v>52</v>
      </c>
      <c r="B73" s="64"/>
      <c r="C73" s="108"/>
      <c r="D73" s="58"/>
      <c r="E73" s="59"/>
      <c r="F73" s="59"/>
      <c r="G73" s="59"/>
      <c r="H73" s="59"/>
      <c r="I73" s="59"/>
      <c r="J73" s="68"/>
      <c r="K73" s="99"/>
      <c r="L73" s="59"/>
      <c r="M73" s="99"/>
      <c r="N73" s="72"/>
    </row>
    <row r="74" spans="1:14" ht="15.75" hidden="1" customHeight="1">
      <c r="A74" s="63">
        <v>53</v>
      </c>
      <c r="B74" s="64"/>
      <c r="C74" s="108"/>
      <c r="D74" s="58"/>
      <c r="E74" s="59"/>
      <c r="F74" s="59"/>
      <c r="G74" s="59"/>
      <c r="H74" s="59"/>
      <c r="I74" s="59"/>
      <c r="J74" s="68"/>
      <c r="K74" s="99"/>
      <c r="L74" s="59"/>
      <c r="M74" s="99"/>
      <c r="N74" s="72"/>
    </row>
    <row r="75" spans="1:14" ht="15.75" hidden="1" customHeight="1">
      <c r="A75" s="63">
        <v>54</v>
      </c>
      <c r="B75" s="64"/>
      <c r="C75" s="108"/>
      <c r="D75" s="58"/>
      <c r="E75" s="59"/>
      <c r="F75" s="59"/>
      <c r="G75" s="59"/>
      <c r="H75" s="59"/>
      <c r="I75" s="59"/>
      <c r="J75" s="68"/>
      <c r="K75" s="99"/>
      <c r="L75" s="59"/>
      <c r="M75" s="99"/>
      <c r="N75" s="72"/>
    </row>
    <row r="76" spans="1:14" ht="15.75" hidden="1" customHeight="1">
      <c r="A76" s="63">
        <v>55</v>
      </c>
      <c r="B76" s="64"/>
      <c r="C76" s="110"/>
      <c r="D76" s="78"/>
      <c r="E76" s="59"/>
      <c r="F76" s="79"/>
      <c r="G76" s="79"/>
      <c r="H76" s="79"/>
      <c r="I76" s="79"/>
      <c r="J76" s="68"/>
      <c r="K76" s="99"/>
      <c r="L76" s="79"/>
      <c r="M76" s="99"/>
      <c r="N76" s="80"/>
    </row>
    <row r="77" spans="1:14" ht="15.75" hidden="1" customHeight="1">
      <c r="A77" s="63">
        <v>56</v>
      </c>
      <c r="B77" s="64"/>
      <c r="C77" s="110"/>
      <c r="D77" s="78"/>
      <c r="E77" s="79"/>
      <c r="F77" s="79"/>
      <c r="G77" s="79"/>
      <c r="H77" s="79"/>
      <c r="I77" s="79"/>
      <c r="J77" s="68"/>
      <c r="K77" s="99"/>
      <c r="L77" s="79"/>
      <c r="M77" s="99"/>
      <c r="N77" s="80"/>
    </row>
    <row r="78" spans="1:14" ht="15.75" hidden="1" customHeight="1">
      <c r="A78" s="63">
        <v>57</v>
      </c>
      <c r="B78" s="64"/>
      <c r="C78" s="110"/>
      <c r="D78" s="78"/>
      <c r="E78" s="79"/>
      <c r="F78" s="79"/>
      <c r="G78" s="79"/>
      <c r="H78" s="79"/>
      <c r="I78" s="79"/>
      <c r="J78" s="68"/>
      <c r="K78" s="99"/>
      <c r="L78" s="79"/>
      <c r="M78" s="99"/>
      <c r="N78" s="80"/>
    </row>
    <row r="79" spans="1:14" ht="15.75" hidden="1" customHeight="1">
      <c r="A79" s="63">
        <v>58</v>
      </c>
      <c r="B79" s="64"/>
      <c r="C79" s="110"/>
      <c r="D79" s="78"/>
      <c r="E79" s="79"/>
      <c r="F79" s="79"/>
      <c r="G79" s="79"/>
      <c r="H79" s="79"/>
      <c r="I79" s="79"/>
      <c r="J79" s="68"/>
      <c r="K79" s="99"/>
      <c r="L79" s="79"/>
      <c r="M79" s="99"/>
      <c r="N79" s="80"/>
    </row>
    <row r="80" spans="1:14" ht="15" customHeight="1">
      <c r="A80" s="63">
        <v>59</v>
      </c>
      <c r="B80" s="64"/>
      <c r="C80" s="110"/>
      <c r="D80" s="78"/>
      <c r="E80" s="79"/>
      <c r="F80" s="79"/>
      <c r="G80" s="79"/>
      <c r="H80" s="79"/>
      <c r="I80" s="79"/>
      <c r="J80" s="68"/>
      <c r="K80" s="99"/>
      <c r="L80" s="79"/>
      <c r="M80" s="99"/>
      <c r="N80" s="80"/>
    </row>
  </sheetData>
  <mergeCells count="1">
    <mergeCell ref="M9:M11"/>
  </mergeCells>
  <conditionalFormatting sqref="L3:L50">
    <cfRule type="cellIs" dxfId="79" priority="1" operator="equal">
      <formula>"In Process"</formula>
    </cfRule>
    <cfRule type="cellIs" dxfId="78" priority="2" operator="equal">
      <formula>"Not Received"</formula>
    </cfRule>
    <cfRule type="cellIs" dxfId="77" priority="3" operator="equal">
      <formula>"Paid By Client"</formula>
    </cfRule>
    <cfRule type="cellIs" dxfId="76" priority="4" operator="equal">
      <formula>"Payment Received"</formula>
    </cfRule>
  </conditionalFormatting>
  <hyperlinks>
    <hyperlink ref="J19" r:id="rId1" display="                       18,881 " xr:uid="{00000000-0004-0000-0500-000000000000}"/>
    <hyperlink ref="H19" r:id="rId2" xr:uid="{00000000-0004-0000-0500-000001000000}"/>
    <hyperlink ref="H17" r:id="rId3" xr:uid="{00000000-0004-0000-0500-000002000000}"/>
    <hyperlink ref="H16" r:id="rId4" xr:uid="{00000000-0004-0000-0500-000003000000}"/>
    <hyperlink ref="H15" r:id="rId5" xr:uid="{00000000-0004-0000-0500-000004000000}"/>
    <hyperlink ref="H11" r:id="rId6" xr:uid="{00000000-0004-0000-0500-000005000000}"/>
    <hyperlink ref="H9" r:id="rId7" xr:uid="{00000000-0004-0000-0500-000006000000}"/>
    <hyperlink ref="H10" r:id="rId8" xr:uid="{00000000-0004-0000-0500-000007000000}"/>
    <hyperlink ref="M4" r:id="rId9" xr:uid="{00000000-0004-0000-0500-000008000000}"/>
    <hyperlink ref="M9:M11" r:id="rId10" display="   Invoice No.1002   " xr:uid="{00000000-0004-0000-0500-000009000000}"/>
    <hyperlink ref="M17" r:id="rId11" display="    Invoice No.1002    " xr:uid="{00000000-0004-0000-0500-00000A000000}"/>
    <hyperlink ref="M19" r:id="rId12" display="    Invoice No.1002    " xr:uid="{00000000-0004-0000-0500-00000B000000}"/>
    <hyperlink ref="M13" r:id="rId13" display="  Invoice No.959  " xr:uid="{00000000-0004-0000-0500-00000C000000}"/>
    <hyperlink ref="H12" r:id="rId14" xr:uid="{00000000-0004-0000-0500-00000D000000}"/>
    <hyperlink ref="M12" r:id="rId15" display=" Invoice No.1070 " xr:uid="{00000000-0004-0000-0500-00000E000000}"/>
    <hyperlink ref="M8" r:id="rId16" display=" Invoice No. 1050 " xr:uid="{00000000-0004-0000-0500-00000F000000}"/>
    <hyperlink ref="H18" r:id="rId17" xr:uid="{00000000-0004-0000-0500-000010000000}"/>
    <hyperlink ref="H20" r:id="rId18" xr:uid="{00000000-0004-0000-0500-000011000000}"/>
    <hyperlink ref="H21" r:id="rId19" xr:uid="{00000000-0004-0000-0500-000012000000}"/>
    <hyperlink ref="M21" r:id="rId20" xr:uid="{00000000-0004-0000-0500-000013000000}"/>
    <hyperlink ref="M20" r:id="rId21" xr:uid="{00000000-0004-0000-0500-000014000000}"/>
    <hyperlink ref="H22" r:id="rId22" xr:uid="{00000000-0004-0000-0500-000015000000}"/>
    <hyperlink ref="M22" r:id="rId23" xr:uid="{00000000-0004-0000-0500-000016000000}"/>
    <hyperlink ref="M16" r:id="rId24" xr:uid="{00000000-0004-0000-0500-000017000000}"/>
    <hyperlink ref="M18" r:id="rId25" xr:uid="{00000000-0004-0000-0500-000018000000}"/>
    <hyperlink ref="M23" r:id="rId26" xr:uid="{00000000-0004-0000-0500-000019000000}"/>
  </hyperlinks>
  <pageMargins left="0.7" right="0.7" top="0.75" bottom="0.75" header="0" footer="0"/>
  <pageSetup scale="84" orientation="landscape"/>
  <tableParts count="2">
    <tablePart r:id="rId27"/>
    <tablePart r:id="rId2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9"/>
  <sheetViews>
    <sheetView workbookViewId="0">
      <pane ySplit="1" topLeftCell="A2" activePane="bottomLeft" state="frozen"/>
      <selection pane="bottomLeft" activeCell="A5" sqref="A5"/>
      <selection activeCell="A5" sqref="A5"/>
    </sheetView>
  </sheetViews>
  <sheetFormatPr defaultColWidth="14.42578125" defaultRowHeight="15" customHeight="1"/>
  <cols>
    <col min="1" max="1" width="8.7109375" customWidth="1"/>
    <col min="2" max="2" width="19" customWidth="1"/>
    <col min="3" max="3" width="19.7109375" customWidth="1"/>
    <col min="4" max="4" width="28.140625" customWidth="1"/>
    <col min="5" max="5" width="40.85546875" bestFit="1" customWidth="1"/>
    <col min="6" max="6" width="24.7109375" customWidth="1"/>
    <col min="7" max="7" width="23" customWidth="1"/>
    <col min="8" max="8" width="24.28515625" customWidth="1"/>
    <col min="9" max="9" width="17.28515625" customWidth="1"/>
    <col min="10" max="11" width="22.7109375" customWidth="1"/>
    <col min="12" max="12" width="21.42578125" customWidth="1"/>
    <col min="13" max="13" width="22.7109375" customWidth="1"/>
    <col min="14" max="14" width="49.42578125" customWidth="1"/>
  </cols>
  <sheetData>
    <row r="1" spans="1:14" ht="33" customHeight="1">
      <c r="A1" s="146" t="s">
        <v>15</v>
      </c>
      <c r="B1" s="149" t="s">
        <v>219</v>
      </c>
      <c r="C1" s="149" t="s">
        <v>220</v>
      </c>
      <c r="D1" s="147" t="s">
        <v>221</v>
      </c>
      <c r="E1" s="147" t="s">
        <v>222</v>
      </c>
      <c r="F1" s="147" t="s">
        <v>223</v>
      </c>
      <c r="G1" s="147" t="s">
        <v>224</v>
      </c>
      <c r="H1" s="147" t="s">
        <v>225</v>
      </c>
      <c r="I1" s="147" t="s">
        <v>226</v>
      </c>
      <c r="J1" s="146" t="s">
        <v>227</v>
      </c>
      <c r="K1" s="148" t="s">
        <v>228</v>
      </c>
      <c r="L1" s="149" t="s">
        <v>229</v>
      </c>
      <c r="M1" s="148" t="s">
        <v>230</v>
      </c>
      <c r="N1" s="146" t="s">
        <v>18</v>
      </c>
    </row>
    <row r="2" spans="1:14" ht="15.75">
      <c r="A2" s="5">
        <v>1</v>
      </c>
      <c r="B2" s="128">
        <v>44722</v>
      </c>
      <c r="C2" s="207"/>
      <c r="D2" s="130" t="s">
        <v>231</v>
      </c>
      <c r="E2" s="131" t="s">
        <v>232</v>
      </c>
      <c r="F2" s="155"/>
      <c r="G2" s="133" t="s">
        <v>233</v>
      </c>
      <c r="H2" s="133"/>
      <c r="I2" s="133"/>
      <c r="J2" s="121">
        <f>34379+87143+16437</f>
        <v>137959</v>
      </c>
      <c r="K2" s="150"/>
      <c r="L2" s="134"/>
      <c r="M2" s="69"/>
      <c r="N2" s="135"/>
    </row>
    <row r="3" spans="1:14" ht="15.75">
      <c r="A3" s="9">
        <v>2</v>
      </c>
      <c r="B3" s="136">
        <v>44722</v>
      </c>
      <c r="C3" s="207"/>
      <c r="D3" s="130" t="s">
        <v>234</v>
      </c>
      <c r="E3" s="131" t="s">
        <v>235</v>
      </c>
      <c r="F3" s="156"/>
      <c r="G3" s="132"/>
      <c r="H3" s="133"/>
      <c r="I3" s="133"/>
      <c r="J3" s="122">
        <v>10180</v>
      </c>
      <c r="K3" s="150">
        <f>J3/180</f>
        <v>56.555555555555557</v>
      </c>
      <c r="L3" s="137" t="s">
        <v>3</v>
      </c>
      <c r="M3" s="161" t="s">
        <v>236</v>
      </c>
      <c r="N3" s="204" t="s">
        <v>237</v>
      </c>
    </row>
    <row r="4" spans="1:14" ht="15.75">
      <c r="A4" s="9">
        <v>3</v>
      </c>
      <c r="B4" s="136">
        <v>44743</v>
      </c>
      <c r="C4" s="139"/>
      <c r="D4" s="130" t="s">
        <v>238</v>
      </c>
      <c r="E4" s="131" t="s">
        <v>239</v>
      </c>
      <c r="F4" s="156"/>
      <c r="G4" s="132" t="s">
        <v>233</v>
      </c>
      <c r="H4" s="133"/>
      <c r="I4" s="133"/>
      <c r="J4" s="123">
        <v>6185</v>
      </c>
      <c r="K4" s="150"/>
      <c r="L4" s="137" t="s">
        <v>240</v>
      </c>
      <c r="M4" s="69"/>
      <c r="N4" s="202" t="s">
        <v>241</v>
      </c>
    </row>
    <row r="5" spans="1:14" ht="15.75">
      <c r="A5" s="9">
        <v>4</v>
      </c>
      <c r="B5" s="136">
        <v>44756</v>
      </c>
      <c r="C5" s="139"/>
      <c r="D5" s="130" t="s">
        <v>242</v>
      </c>
      <c r="E5" s="131" t="s">
        <v>243</v>
      </c>
      <c r="F5" s="156" t="s">
        <v>244</v>
      </c>
      <c r="G5" s="132" t="s">
        <v>245</v>
      </c>
      <c r="H5" s="133"/>
      <c r="I5" s="133"/>
      <c r="J5" s="124">
        <v>50</v>
      </c>
      <c r="K5" s="150"/>
      <c r="L5" s="137" t="s">
        <v>3</v>
      </c>
      <c r="M5" s="69"/>
      <c r="N5" s="138"/>
    </row>
    <row r="6" spans="1:14" ht="15.75">
      <c r="A6" s="9">
        <v>5</v>
      </c>
      <c r="B6" s="136"/>
      <c r="C6" s="139"/>
      <c r="D6" s="130" t="s">
        <v>246</v>
      </c>
      <c r="E6" s="131" t="s">
        <v>247</v>
      </c>
      <c r="F6" s="156"/>
      <c r="G6" s="132" t="s">
        <v>248</v>
      </c>
      <c r="H6" s="133"/>
      <c r="I6" s="133"/>
      <c r="J6" s="124">
        <v>0</v>
      </c>
      <c r="K6" s="150"/>
      <c r="L6" s="137" t="s">
        <v>249</v>
      </c>
      <c r="M6" s="69"/>
      <c r="N6" s="140" t="s">
        <v>250</v>
      </c>
    </row>
    <row r="7" spans="1:14" ht="15.75">
      <c r="A7" s="187">
        <v>6</v>
      </c>
      <c r="B7" s="188">
        <v>44788</v>
      </c>
      <c r="C7" s="189"/>
      <c r="D7" s="190" t="s">
        <v>251</v>
      </c>
      <c r="E7" s="191" t="s">
        <v>252</v>
      </c>
      <c r="F7" s="192" t="s">
        <v>253</v>
      </c>
      <c r="G7" s="193" t="s">
        <v>248</v>
      </c>
      <c r="H7" s="153"/>
      <c r="I7" s="153"/>
      <c r="J7" s="194">
        <v>6625</v>
      </c>
      <c r="K7" s="150">
        <v>33.1</v>
      </c>
      <c r="L7" s="193" t="s">
        <v>240</v>
      </c>
      <c r="M7" s="203" t="s">
        <v>254</v>
      </c>
      <c r="N7" s="201" t="s">
        <v>255</v>
      </c>
    </row>
    <row r="8" spans="1:14" ht="15.75">
      <c r="A8" s="164">
        <v>7</v>
      </c>
      <c r="B8" s="165">
        <v>44706</v>
      </c>
      <c r="C8" s="166"/>
      <c r="D8" s="167" t="s">
        <v>234</v>
      </c>
      <c r="E8" s="168" t="s">
        <v>256</v>
      </c>
      <c r="F8" s="169"/>
      <c r="G8" s="170"/>
      <c r="H8" s="171" t="s">
        <v>257</v>
      </c>
      <c r="I8" s="171" t="s">
        <v>258</v>
      </c>
      <c r="J8" s="172"/>
      <c r="K8" s="173">
        <v>46.39</v>
      </c>
      <c r="L8" s="174" t="s">
        <v>3</v>
      </c>
      <c r="M8" s="447" t="s">
        <v>236</v>
      </c>
      <c r="N8" s="450" t="s">
        <v>237</v>
      </c>
    </row>
    <row r="9" spans="1:14" ht="15.75">
      <c r="A9" s="175">
        <v>8</v>
      </c>
      <c r="B9" s="136">
        <v>44833</v>
      </c>
      <c r="C9" s="139"/>
      <c r="D9" s="130" t="s">
        <v>234</v>
      </c>
      <c r="E9" s="131" t="s">
        <v>259</v>
      </c>
      <c r="F9" s="157"/>
      <c r="G9" s="137"/>
      <c r="H9" s="154" t="s">
        <v>257</v>
      </c>
      <c r="I9" s="154" t="s">
        <v>258</v>
      </c>
      <c r="J9" s="124"/>
      <c r="K9" s="150">
        <v>77.48</v>
      </c>
      <c r="L9" s="162" t="s">
        <v>3</v>
      </c>
      <c r="M9" s="448"/>
      <c r="N9" s="451"/>
    </row>
    <row r="10" spans="1:14" ht="15.75">
      <c r="A10" s="176">
        <v>9</v>
      </c>
      <c r="B10" s="177">
        <v>44863</v>
      </c>
      <c r="C10" s="178"/>
      <c r="D10" s="179" t="s">
        <v>234</v>
      </c>
      <c r="E10" s="180" t="s">
        <v>260</v>
      </c>
      <c r="F10" s="181">
        <v>3128642226</v>
      </c>
      <c r="G10" s="182" t="s">
        <v>261</v>
      </c>
      <c r="H10" s="183" t="s">
        <v>257</v>
      </c>
      <c r="I10" s="183" t="s">
        <v>258</v>
      </c>
      <c r="J10" s="184"/>
      <c r="K10" s="185">
        <v>62</v>
      </c>
      <c r="L10" s="186" t="s">
        <v>3</v>
      </c>
      <c r="M10" s="449"/>
      <c r="N10" s="452"/>
    </row>
    <row r="11" spans="1:14" ht="15.75">
      <c r="A11" s="195">
        <v>10</v>
      </c>
      <c r="B11" s="128">
        <v>44832</v>
      </c>
      <c r="C11" s="129"/>
      <c r="D11" s="196" t="s">
        <v>262</v>
      </c>
      <c r="E11" s="142" t="s">
        <v>263</v>
      </c>
      <c r="F11" s="197">
        <v>4110075686</v>
      </c>
      <c r="G11" s="198" t="s">
        <v>261</v>
      </c>
      <c r="H11" s="154" t="s">
        <v>264</v>
      </c>
      <c r="I11" s="133" t="s">
        <v>265</v>
      </c>
      <c r="J11" s="123">
        <v>0</v>
      </c>
      <c r="K11" s="199">
        <v>0</v>
      </c>
      <c r="L11" s="198" t="s">
        <v>266</v>
      </c>
      <c r="M11" s="200" t="s">
        <v>267</v>
      </c>
      <c r="N11" s="206" t="s">
        <v>268</v>
      </c>
    </row>
    <row r="12" spans="1:14" ht="15.75">
      <c r="A12" s="195">
        <v>11</v>
      </c>
      <c r="B12" s="128">
        <v>44834</v>
      </c>
      <c r="C12" s="129"/>
      <c r="D12" s="196" t="s">
        <v>269</v>
      </c>
      <c r="E12" s="142" t="s">
        <v>270</v>
      </c>
      <c r="F12" s="197" t="s">
        <v>266</v>
      </c>
      <c r="G12" s="198" t="s">
        <v>271</v>
      </c>
      <c r="H12" s="133" t="s">
        <v>272</v>
      </c>
      <c r="I12" s="137" t="s">
        <v>265</v>
      </c>
      <c r="J12" s="123">
        <v>0</v>
      </c>
      <c r="K12" s="150">
        <v>173.16</v>
      </c>
      <c r="L12" s="198" t="s">
        <v>3</v>
      </c>
      <c r="M12" s="200" t="s">
        <v>273</v>
      </c>
      <c r="N12" s="140"/>
    </row>
    <row r="13" spans="1:14" ht="15.75">
      <c r="A13" s="195">
        <v>12</v>
      </c>
      <c r="B13" s="128">
        <v>44859</v>
      </c>
      <c r="C13" s="129"/>
      <c r="D13" s="196" t="s">
        <v>269</v>
      </c>
      <c r="E13" s="142" t="s">
        <v>274</v>
      </c>
      <c r="F13" s="197" t="s">
        <v>266</v>
      </c>
      <c r="G13" s="198" t="s">
        <v>271</v>
      </c>
      <c r="H13" s="133" t="s">
        <v>272</v>
      </c>
      <c r="I13" s="137"/>
      <c r="J13" s="123">
        <v>450</v>
      </c>
      <c r="K13" s="150">
        <v>2</v>
      </c>
      <c r="L13" s="198" t="s">
        <v>3</v>
      </c>
      <c r="M13" s="163"/>
      <c r="N13" s="140" t="s">
        <v>276</v>
      </c>
    </row>
    <row r="14" spans="1:14" ht="15.75">
      <c r="A14" s="9">
        <v>13</v>
      </c>
      <c r="B14" s="136">
        <v>44872</v>
      </c>
      <c r="C14" s="139"/>
      <c r="D14" s="130" t="s">
        <v>246</v>
      </c>
      <c r="E14" s="131" t="s">
        <v>277</v>
      </c>
      <c r="F14" s="157" t="s">
        <v>278</v>
      </c>
      <c r="G14" s="137" t="s">
        <v>248</v>
      </c>
      <c r="H14" s="154" t="s">
        <v>279</v>
      </c>
      <c r="I14" s="137"/>
      <c r="J14" s="124" t="s">
        <v>266</v>
      </c>
      <c r="K14" s="150" t="s">
        <v>266</v>
      </c>
      <c r="L14" s="137" t="s">
        <v>249</v>
      </c>
      <c r="M14" s="69"/>
      <c r="N14" s="205" t="s">
        <v>280</v>
      </c>
    </row>
    <row r="15" spans="1:14" ht="15.75">
      <c r="A15" s="9">
        <v>14</v>
      </c>
      <c r="B15" s="136">
        <v>44905</v>
      </c>
      <c r="C15" s="139"/>
      <c r="D15" s="130" t="s">
        <v>281</v>
      </c>
      <c r="E15" s="131" t="s">
        <v>282</v>
      </c>
      <c r="F15" s="157">
        <v>8367570024</v>
      </c>
      <c r="G15" s="137" t="s">
        <v>261</v>
      </c>
      <c r="H15" s="154" t="s">
        <v>283</v>
      </c>
      <c r="I15" s="137" t="s">
        <v>258</v>
      </c>
      <c r="J15" s="224" t="s">
        <v>307</v>
      </c>
      <c r="K15" s="150">
        <v>62.04</v>
      </c>
      <c r="L15" s="137" t="s">
        <v>275</v>
      </c>
      <c r="M15" s="208" t="s">
        <v>284</v>
      </c>
      <c r="N15" s="140" t="s">
        <v>285</v>
      </c>
    </row>
    <row r="16" spans="1:14" ht="15.75">
      <c r="A16" s="9">
        <v>15</v>
      </c>
      <c r="B16" s="136">
        <v>44896</v>
      </c>
      <c r="C16" s="139"/>
      <c r="D16" s="130" t="s">
        <v>234</v>
      </c>
      <c r="E16" s="131" t="s">
        <v>286</v>
      </c>
      <c r="F16" s="157">
        <v>391015075857</v>
      </c>
      <c r="G16" s="137" t="s">
        <v>233</v>
      </c>
      <c r="H16" s="154" t="s">
        <v>257</v>
      </c>
      <c r="I16" s="137" t="s">
        <v>258</v>
      </c>
      <c r="J16" s="124">
        <v>2245</v>
      </c>
      <c r="K16" s="150">
        <v>10</v>
      </c>
      <c r="L16" s="137" t="s">
        <v>3</v>
      </c>
      <c r="M16" s="161" t="s">
        <v>236</v>
      </c>
      <c r="N16" s="205" t="s">
        <v>237</v>
      </c>
    </row>
    <row r="17" spans="1:14" ht="15.75">
      <c r="A17" s="9">
        <v>16</v>
      </c>
      <c r="B17" s="136">
        <v>44902</v>
      </c>
      <c r="C17" s="139"/>
      <c r="D17" s="130" t="s">
        <v>287</v>
      </c>
      <c r="E17" s="131" t="s">
        <v>288</v>
      </c>
      <c r="F17" s="157">
        <v>391392530638</v>
      </c>
      <c r="G17" s="137" t="s">
        <v>233</v>
      </c>
      <c r="H17" s="154" t="s">
        <v>289</v>
      </c>
      <c r="I17" s="137"/>
      <c r="J17" s="224" t="s">
        <v>308</v>
      </c>
      <c r="K17" s="150">
        <v>57.78</v>
      </c>
      <c r="L17" s="137" t="s">
        <v>275</v>
      </c>
      <c r="M17" s="208" t="s">
        <v>290</v>
      </c>
      <c r="N17" s="140" t="s">
        <v>291</v>
      </c>
    </row>
    <row r="18" spans="1:14" ht="15.75">
      <c r="A18" s="9">
        <v>17</v>
      </c>
      <c r="B18" s="136">
        <v>44902</v>
      </c>
      <c r="C18" s="139"/>
      <c r="D18" s="130" t="s">
        <v>234</v>
      </c>
      <c r="E18" s="131" t="s">
        <v>292</v>
      </c>
      <c r="F18" s="157">
        <v>9666147595</v>
      </c>
      <c r="G18" s="137" t="s">
        <v>261</v>
      </c>
      <c r="H18" s="154" t="s">
        <v>257</v>
      </c>
      <c r="I18" s="137" t="s">
        <v>258</v>
      </c>
      <c r="J18" s="125">
        <v>18881</v>
      </c>
      <c r="K18" s="150">
        <v>84.1</v>
      </c>
      <c r="L18" s="137" t="s">
        <v>3</v>
      </c>
      <c r="M18" s="161" t="s">
        <v>236</v>
      </c>
      <c r="N18" s="205" t="s">
        <v>237</v>
      </c>
    </row>
    <row r="19" spans="1:14" ht="15.75">
      <c r="A19" s="9">
        <v>18</v>
      </c>
      <c r="B19" s="136"/>
      <c r="C19" s="139">
        <v>44910</v>
      </c>
      <c r="D19" s="130" t="s">
        <v>234</v>
      </c>
      <c r="E19" s="131" t="s">
        <v>293</v>
      </c>
      <c r="F19" s="157" t="s">
        <v>294</v>
      </c>
      <c r="G19" s="137" t="s">
        <v>295</v>
      </c>
      <c r="H19" s="154" t="s">
        <v>257</v>
      </c>
      <c r="I19" s="137" t="s">
        <v>265</v>
      </c>
      <c r="J19" s="124">
        <v>25020</v>
      </c>
      <c r="K19" s="151">
        <v>0</v>
      </c>
      <c r="L19" s="137" t="s">
        <v>275</v>
      </c>
      <c r="M19" s="208" t="s">
        <v>309</v>
      </c>
      <c r="N19" s="140" t="s">
        <v>297</v>
      </c>
    </row>
    <row r="20" spans="1:14" ht="15.75">
      <c r="A20" s="9">
        <v>19</v>
      </c>
      <c r="B20" s="136"/>
      <c r="C20" s="139">
        <v>44911</v>
      </c>
      <c r="D20" s="130" t="s">
        <v>246</v>
      </c>
      <c r="E20" s="142" t="s">
        <v>298</v>
      </c>
      <c r="F20" s="157" t="s">
        <v>299</v>
      </c>
      <c r="G20" s="137" t="s">
        <v>295</v>
      </c>
      <c r="H20" s="154" t="s">
        <v>279</v>
      </c>
      <c r="I20" s="137" t="s">
        <v>258</v>
      </c>
      <c r="J20" s="124">
        <v>40500</v>
      </c>
      <c r="K20" s="151">
        <v>195.16</v>
      </c>
      <c r="L20" s="137" t="s">
        <v>3</v>
      </c>
      <c r="M20" s="208" t="s">
        <v>300</v>
      </c>
      <c r="N20" s="209" t="s">
        <v>301</v>
      </c>
    </row>
    <row r="21" spans="1:14" ht="15.75">
      <c r="A21" s="9">
        <v>20</v>
      </c>
      <c r="B21" s="136"/>
      <c r="C21" s="139">
        <v>44915</v>
      </c>
      <c r="D21" s="130" t="s">
        <v>234</v>
      </c>
      <c r="E21" s="142" t="s">
        <v>302</v>
      </c>
      <c r="F21" s="157"/>
      <c r="G21" s="137" t="s">
        <v>295</v>
      </c>
      <c r="H21" s="210" t="s">
        <v>257</v>
      </c>
      <c r="I21" s="137" t="s">
        <v>265</v>
      </c>
      <c r="J21" s="124">
        <f>12300+2700</f>
        <v>15000</v>
      </c>
      <c r="K21" s="151">
        <v>195.75</v>
      </c>
      <c r="L21" s="137" t="s">
        <v>275</v>
      </c>
      <c r="M21" s="211" t="s">
        <v>303</v>
      </c>
      <c r="N21" s="225" t="s">
        <v>310</v>
      </c>
    </row>
    <row r="22" spans="1:14" ht="15.75">
      <c r="A22" s="9">
        <v>21</v>
      </c>
      <c r="B22" s="136">
        <v>44921</v>
      </c>
      <c r="C22" s="139"/>
      <c r="D22" s="130" t="s">
        <v>269</v>
      </c>
      <c r="E22" s="142" t="s">
        <v>304</v>
      </c>
      <c r="F22" s="157">
        <v>5531422573</v>
      </c>
      <c r="G22" s="137" t="s">
        <v>261</v>
      </c>
      <c r="H22" s="137"/>
      <c r="I22" s="137" t="s">
        <v>265</v>
      </c>
      <c r="J22" s="224" t="s">
        <v>311</v>
      </c>
      <c r="K22" s="151">
        <v>33.1</v>
      </c>
      <c r="L22" s="137" t="s">
        <v>3</v>
      </c>
      <c r="M22" s="211" t="s">
        <v>305</v>
      </c>
      <c r="N22" s="143" t="s">
        <v>306</v>
      </c>
    </row>
    <row r="23" spans="1:14" ht="15.75">
      <c r="A23" s="9">
        <v>22</v>
      </c>
      <c r="B23" s="136"/>
      <c r="C23" s="139"/>
      <c r="D23" s="130"/>
      <c r="E23" s="142"/>
      <c r="F23" s="157"/>
      <c r="G23" s="137"/>
      <c r="H23" s="137"/>
      <c r="I23" s="137"/>
      <c r="J23" s="124"/>
      <c r="K23" s="151"/>
      <c r="L23" s="137"/>
      <c r="M23" s="120"/>
      <c r="N23" s="143"/>
    </row>
    <row r="24" spans="1:14" ht="15.75">
      <c r="A24" s="9">
        <v>23</v>
      </c>
      <c r="B24" s="136"/>
      <c r="C24" s="139"/>
      <c r="D24" s="130"/>
      <c r="E24" s="142"/>
      <c r="F24" s="157"/>
      <c r="G24" s="137"/>
      <c r="H24" s="137"/>
      <c r="I24" s="137"/>
      <c r="J24" s="124"/>
      <c r="K24" s="151"/>
      <c r="L24" s="137"/>
      <c r="M24" s="120"/>
      <c r="N24" s="143"/>
    </row>
    <row r="25" spans="1:14" ht="15.75">
      <c r="A25" s="9">
        <v>24</v>
      </c>
      <c r="B25" s="136"/>
      <c r="C25" s="139"/>
      <c r="D25" s="130"/>
      <c r="E25" s="141"/>
      <c r="F25" s="157"/>
      <c r="G25" s="137"/>
      <c r="H25" s="137"/>
      <c r="I25" s="137"/>
      <c r="J25" s="124"/>
      <c r="K25" s="151"/>
      <c r="L25" s="137"/>
      <c r="M25" s="120"/>
      <c r="N25" s="143"/>
    </row>
    <row r="26" spans="1:14" ht="15.75" customHeight="1">
      <c r="A26" s="9">
        <v>25</v>
      </c>
      <c r="B26" s="136"/>
      <c r="C26" s="139"/>
      <c r="D26" s="130"/>
      <c r="E26" s="131"/>
      <c r="F26" s="157"/>
      <c r="G26" s="137"/>
      <c r="H26" s="137"/>
      <c r="I26" s="137"/>
      <c r="J26" s="124"/>
      <c r="K26" s="151"/>
      <c r="L26" s="137"/>
      <c r="M26" s="120"/>
      <c r="N26" s="140"/>
    </row>
    <row r="27" spans="1:14" ht="15.75" customHeight="1">
      <c r="A27" s="9"/>
      <c r="B27" s="136"/>
      <c r="C27" s="139"/>
      <c r="D27" s="130"/>
      <c r="E27" s="131"/>
      <c r="F27" s="157"/>
      <c r="G27" s="137"/>
      <c r="H27" s="137"/>
      <c r="I27" s="137"/>
      <c r="J27" s="124"/>
      <c r="K27" s="151"/>
      <c r="L27" s="137"/>
      <c r="M27" s="120"/>
      <c r="N27" s="140"/>
    </row>
    <row r="28" spans="1:14" ht="15.75" customHeight="1">
      <c r="A28" s="9"/>
      <c r="B28" s="136"/>
      <c r="C28" s="139"/>
      <c r="D28" s="130"/>
      <c r="E28" s="131"/>
      <c r="F28" s="157"/>
      <c r="G28" s="137"/>
      <c r="H28" s="137"/>
      <c r="I28" s="137"/>
      <c r="J28" s="126"/>
      <c r="K28" s="151"/>
      <c r="L28" s="137"/>
      <c r="M28" s="120"/>
      <c r="N28" s="143"/>
    </row>
    <row r="29" spans="1:14" ht="15.75" customHeight="1">
      <c r="A29" s="9"/>
      <c r="B29" s="136"/>
      <c r="C29" s="139"/>
      <c r="D29" s="130"/>
      <c r="E29" s="131"/>
      <c r="F29" s="157"/>
      <c r="G29" s="137"/>
      <c r="H29" s="137"/>
      <c r="I29" s="137"/>
      <c r="J29" s="127"/>
      <c r="K29" s="151"/>
      <c r="L29" s="137"/>
      <c r="M29" s="120"/>
      <c r="N29" s="140"/>
    </row>
    <row r="30" spans="1:14" ht="15.75" customHeight="1">
      <c r="A30" s="9"/>
      <c r="B30" s="136"/>
      <c r="C30" s="139"/>
      <c r="D30" s="130"/>
      <c r="E30" s="131"/>
      <c r="F30" s="157"/>
      <c r="G30" s="137"/>
      <c r="H30" s="137"/>
      <c r="I30" s="137"/>
      <c r="J30" s="127"/>
      <c r="K30" s="151"/>
      <c r="L30" s="144"/>
      <c r="M30" s="120"/>
      <c r="N30" s="140"/>
    </row>
    <row r="31" spans="1:14" ht="15.75" customHeight="1">
      <c r="A31" s="9"/>
      <c r="B31" s="136"/>
      <c r="C31" s="139"/>
      <c r="D31" s="130"/>
      <c r="E31" s="142"/>
      <c r="F31" s="157"/>
      <c r="G31" s="137"/>
      <c r="H31" s="137"/>
      <c r="I31" s="137"/>
      <c r="J31" s="127"/>
      <c r="K31" s="151"/>
      <c r="L31" s="144"/>
      <c r="M31" s="120"/>
      <c r="N31" s="140"/>
    </row>
    <row r="32" spans="1:14" ht="15.75" customHeight="1">
      <c r="A32" s="9"/>
      <c r="B32" s="136"/>
      <c r="C32" s="139"/>
      <c r="D32" s="130"/>
      <c r="E32" s="142"/>
      <c r="F32" s="157"/>
      <c r="G32" s="137"/>
      <c r="H32" s="137"/>
      <c r="I32" s="137"/>
      <c r="J32" s="127"/>
      <c r="K32" s="151"/>
      <c r="L32" s="144"/>
      <c r="M32" s="120"/>
      <c r="N32" s="140"/>
    </row>
    <row r="33" spans="1:14" ht="15.75" customHeight="1">
      <c r="A33" s="9"/>
      <c r="B33" s="136"/>
      <c r="C33" s="139"/>
      <c r="D33" s="130"/>
      <c r="E33" s="142"/>
      <c r="F33" s="157"/>
      <c r="G33" s="137"/>
      <c r="H33" s="137"/>
      <c r="I33" s="137"/>
      <c r="J33" s="127"/>
      <c r="K33" s="151"/>
      <c r="L33" s="144"/>
      <c r="M33" s="120"/>
      <c r="N33" s="140"/>
    </row>
    <row r="34" spans="1:14" ht="15.75" customHeight="1">
      <c r="A34" s="9"/>
      <c r="B34" s="136"/>
      <c r="C34" s="139"/>
      <c r="D34" s="130"/>
      <c r="E34" s="141"/>
      <c r="F34" s="158"/>
      <c r="G34" s="145"/>
      <c r="H34" s="145"/>
      <c r="I34" s="145"/>
      <c r="J34" s="127"/>
      <c r="K34" s="151"/>
      <c r="L34" s="144"/>
      <c r="M34" s="118"/>
      <c r="N34" s="140"/>
    </row>
    <row r="35" spans="1:14" ht="15.75" customHeight="1">
      <c r="A35" s="9"/>
      <c r="B35" s="136"/>
      <c r="C35" s="139"/>
      <c r="D35" s="130"/>
      <c r="E35" s="141"/>
      <c r="F35" s="158"/>
      <c r="G35" s="145"/>
      <c r="H35" s="145"/>
      <c r="I35" s="145"/>
      <c r="J35" s="127"/>
      <c r="K35" s="151"/>
      <c r="L35" s="137"/>
      <c r="M35" s="118"/>
      <c r="N35" s="140"/>
    </row>
    <row r="36" spans="1:14" ht="15.75" customHeight="1">
      <c r="A36" s="63"/>
      <c r="B36" s="83"/>
      <c r="C36" s="84"/>
      <c r="D36" s="58"/>
      <c r="E36" s="82"/>
      <c r="F36" s="159"/>
      <c r="G36" s="59"/>
      <c r="H36" s="59"/>
      <c r="I36" s="59"/>
      <c r="J36" s="68"/>
      <c r="K36" s="152"/>
      <c r="L36" s="59"/>
      <c r="M36" s="118"/>
      <c r="N36" s="69"/>
    </row>
    <row r="37" spans="1:14" ht="15.75" customHeight="1">
      <c r="A37" s="63"/>
      <c r="B37" s="83"/>
      <c r="C37" s="84"/>
      <c r="D37" s="58"/>
      <c r="E37" s="82"/>
      <c r="F37" s="159"/>
      <c r="G37" s="59"/>
      <c r="H37" s="59"/>
      <c r="I37" s="59"/>
      <c r="J37" s="68"/>
      <c r="K37" s="118"/>
      <c r="L37" s="59"/>
      <c r="M37" s="118"/>
      <c r="N37" s="69"/>
    </row>
    <row r="38" spans="1:14" ht="15.75" customHeight="1">
      <c r="A38" s="63"/>
      <c r="B38" s="83"/>
      <c r="C38" s="84"/>
      <c r="D38" s="58"/>
      <c r="E38" s="86"/>
      <c r="F38" s="159"/>
      <c r="G38" s="59"/>
      <c r="H38" s="59"/>
      <c r="I38" s="59"/>
      <c r="J38" s="68"/>
      <c r="K38" s="118"/>
      <c r="L38" s="59"/>
      <c r="M38" s="118"/>
      <c r="N38" s="69"/>
    </row>
    <row r="39" spans="1:14" ht="15.75" customHeight="1">
      <c r="A39" s="63"/>
      <c r="B39" s="83"/>
      <c r="C39" s="84"/>
      <c r="D39" s="58"/>
      <c r="E39" s="85"/>
      <c r="F39" s="159"/>
      <c r="G39" s="59"/>
      <c r="H39" s="59"/>
      <c r="I39" s="59"/>
      <c r="J39" s="68"/>
      <c r="K39" s="118"/>
      <c r="L39" s="59"/>
      <c r="M39" s="118"/>
      <c r="N39" s="69"/>
    </row>
    <row r="40" spans="1:14" ht="15.75" customHeight="1">
      <c r="A40" s="63"/>
      <c r="B40" s="83"/>
      <c r="C40" s="84"/>
      <c r="D40" s="58"/>
      <c r="E40" s="85"/>
      <c r="F40" s="87"/>
      <c r="G40" s="87"/>
      <c r="H40" s="87"/>
      <c r="I40" s="87"/>
      <c r="J40" s="68"/>
      <c r="K40" s="118"/>
      <c r="L40" s="59"/>
      <c r="M40" s="160"/>
    </row>
    <row r="41" spans="1:14" ht="15.75" customHeight="1">
      <c r="A41" s="63"/>
      <c r="B41" s="83"/>
      <c r="C41" s="84"/>
      <c r="D41" s="58"/>
      <c r="E41" s="82"/>
      <c r="F41" s="59"/>
      <c r="G41" s="59"/>
      <c r="H41" s="59"/>
      <c r="I41" s="59"/>
      <c r="J41" s="68"/>
      <c r="K41" s="118"/>
      <c r="L41" s="59"/>
      <c r="M41" s="118"/>
      <c r="N41" s="62"/>
    </row>
    <row r="42" spans="1:14" ht="15.75" customHeight="1">
      <c r="A42" s="63"/>
      <c r="B42" s="83"/>
      <c r="C42" s="84"/>
      <c r="D42" s="58"/>
      <c r="E42" s="82"/>
      <c r="F42" s="59"/>
      <c r="G42" s="59"/>
      <c r="H42" s="59"/>
      <c r="I42" s="59"/>
      <c r="J42" s="68"/>
      <c r="K42" s="118"/>
      <c r="L42" s="59"/>
      <c r="M42" s="118"/>
      <c r="N42" s="72"/>
    </row>
    <row r="43" spans="1:14" ht="15.75" customHeight="1">
      <c r="A43" s="63"/>
      <c r="B43" s="83"/>
      <c r="C43" s="84"/>
      <c r="D43" s="58"/>
      <c r="E43" s="82"/>
      <c r="F43" s="59"/>
      <c r="G43" s="59"/>
      <c r="H43" s="59"/>
      <c r="I43" s="59"/>
      <c r="J43" s="68"/>
      <c r="K43" s="118"/>
      <c r="L43" s="59"/>
      <c r="M43" s="118"/>
      <c r="N43" s="69"/>
    </row>
    <row r="44" spans="1:14" ht="15.75" customHeight="1">
      <c r="A44" s="63"/>
      <c r="B44" s="83"/>
      <c r="C44" s="84"/>
      <c r="D44" s="58"/>
      <c r="E44" s="85"/>
      <c r="F44" s="59"/>
      <c r="G44" s="59"/>
      <c r="H44" s="59"/>
      <c r="I44" s="59"/>
      <c r="J44" s="68"/>
      <c r="K44" s="118"/>
      <c r="L44" s="59"/>
      <c r="M44" s="118"/>
      <c r="N44" s="69"/>
    </row>
    <row r="45" spans="1:14" ht="15.75" customHeight="1">
      <c r="A45" s="63"/>
      <c r="B45" s="83"/>
      <c r="C45" s="84"/>
      <c r="D45" s="58"/>
      <c r="E45" s="82"/>
      <c r="F45" s="59"/>
      <c r="G45" s="59"/>
      <c r="H45" s="59"/>
      <c r="I45" s="59"/>
      <c r="J45" s="68"/>
      <c r="K45" s="118"/>
      <c r="L45" s="59"/>
      <c r="M45" s="118"/>
      <c r="N45" s="69"/>
    </row>
    <row r="46" spans="1:14" ht="15.75" customHeight="1">
      <c r="A46" s="63"/>
      <c r="B46" s="83"/>
      <c r="C46" s="84"/>
      <c r="D46" s="58"/>
      <c r="E46" s="82"/>
      <c r="F46" s="59"/>
      <c r="G46" s="59"/>
      <c r="H46" s="59"/>
      <c r="I46" s="59"/>
      <c r="J46" s="68"/>
      <c r="K46" s="118"/>
      <c r="L46" s="59"/>
      <c r="M46" s="118"/>
      <c r="N46" s="69"/>
    </row>
    <row r="47" spans="1:14" ht="15.75" customHeight="1">
      <c r="A47" s="63"/>
      <c r="B47" s="83"/>
      <c r="C47" s="84"/>
      <c r="D47" s="58"/>
      <c r="E47" s="82"/>
      <c r="F47" s="59"/>
      <c r="G47" s="59"/>
      <c r="H47" s="59"/>
      <c r="I47" s="59"/>
      <c r="J47" s="68"/>
      <c r="K47" s="118"/>
      <c r="L47" s="59"/>
      <c r="M47" s="118"/>
      <c r="N47" s="69"/>
    </row>
    <row r="48" spans="1:14" ht="15.75" customHeight="1">
      <c r="A48" s="63"/>
      <c r="B48" s="83"/>
      <c r="C48" s="84"/>
      <c r="D48" s="58"/>
      <c r="E48" s="82"/>
      <c r="F48" s="59"/>
      <c r="G48" s="59"/>
      <c r="H48" s="59"/>
      <c r="I48" s="59"/>
      <c r="J48" s="68"/>
      <c r="K48" s="118"/>
      <c r="L48" s="59"/>
      <c r="M48" s="118"/>
      <c r="N48" s="69"/>
    </row>
    <row r="49" spans="1:14" ht="15.75" customHeight="1">
      <c r="A49" s="88"/>
      <c r="B49" s="89"/>
      <c r="C49" s="90"/>
      <c r="D49" s="91"/>
      <c r="E49" s="92"/>
      <c r="F49" s="93"/>
      <c r="G49" s="93"/>
      <c r="H49" s="94"/>
      <c r="I49" s="94"/>
      <c r="J49" s="95"/>
      <c r="K49" s="119"/>
      <c r="L49" s="94"/>
      <c r="M49" s="119"/>
      <c r="N49" s="69"/>
    </row>
    <row r="50" spans="1:14" ht="15.75" customHeight="1">
      <c r="A50" s="96"/>
      <c r="B50" s="96"/>
      <c r="C50" s="96"/>
      <c r="D50" s="96"/>
      <c r="E50" s="96"/>
      <c r="F50" s="96"/>
      <c r="G50" s="96"/>
      <c r="H50" s="96"/>
      <c r="I50" s="96"/>
      <c r="J50" s="98">
        <f>SUM(J2:J49)</f>
        <v>263095</v>
      </c>
      <c r="K50" s="98"/>
      <c r="L50" s="97" t="s">
        <v>123</v>
      </c>
      <c r="M50" s="98"/>
      <c r="N50" s="99"/>
    </row>
    <row r="51" spans="1:14" ht="15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98">
        <f>SUMIF(J2:J49,L51,J2:J49)</f>
        <v>0</v>
      </c>
      <c r="K51" s="98"/>
      <c r="L51" s="101" t="s">
        <v>179</v>
      </c>
      <c r="M51" s="98"/>
      <c r="N51" s="99"/>
    </row>
    <row r="52" spans="1:14" ht="15.75" customHeight="1">
      <c r="A52" s="102"/>
      <c r="B52" s="102"/>
      <c r="C52" s="102"/>
      <c r="D52" s="102"/>
      <c r="E52" s="102"/>
      <c r="F52" s="102"/>
      <c r="G52" s="102"/>
      <c r="H52" s="102"/>
      <c r="I52" s="102"/>
      <c r="J52" s="98">
        <f>SUMIF(J2:J49,L52,J2:J49)</f>
        <v>0</v>
      </c>
      <c r="K52" s="98"/>
      <c r="L52" s="103" t="s">
        <v>183</v>
      </c>
      <c r="M52" s="98"/>
      <c r="N52" s="99"/>
    </row>
    <row r="53" spans="1:14" ht="15.75" hidden="1" customHeight="1">
      <c r="A53" s="104">
        <v>33</v>
      </c>
      <c r="B53" s="57"/>
      <c r="C53" s="105"/>
      <c r="D53" s="106"/>
      <c r="E53" s="107"/>
      <c r="F53" s="107"/>
      <c r="G53" s="107"/>
      <c r="H53" s="107"/>
      <c r="I53" s="107"/>
      <c r="J53" s="67"/>
      <c r="K53" s="115"/>
      <c r="L53" s="107"/>
      <c r="M53" s="115"/>
      <c r="N53" s="69"/>
    </row>
    <row r="54" spans="1:14" ht="15.75" hidden="1" customHeight="1">
      <c r="A54" s="63">
        <v>34</v>
      </c>
      <c r="B54" s="64"/>
      <c r="C54" s="108"/>
      <c r="D54" s="58"/>
      <c r="E54" s="59"/>
      <c r="F54" s="59"/>
      <c r="G54" s="59"/>
      <c r="H54" s="59"/>
      <c r="I54" s="59"/>
      <c r="J54" s="68"/>
      <c r="K54" s="99"/>
      <c r="L54" s="59"/>
      <c r="M54" s="99"/>
      <c r="N54" s="72"/>
    </row>
    <row r="55" spans="1:14" ht="15.75" hidden="1" customHeight="1">
      <c r="A55" s="63">
        <v>35</v>
      </c>
      <c r="B55" s="64"/>
      <c r="C55" s="108"/>
      <c r="D55" s="58"/>
      <c r="E55" s="59"/>
      <c r="F55" s="59"/>
      <c r="G55" s="59"/>
      <c r="H55" s="59"/>
      <c r="I55" s="59"/>
      <c r="J55" s="68"/>
      <c r="K55" s="99"/>
      <c r="L55" s="59"/>
      <c r="M55" s="99"/>
      <c r="N55" s="72"/>
    </row>
    <row r="56" spans="1:14" ht="15.75" hidden="1" customHeight="1">
      <c r="A56" s="63">
        <v>36</v>
      </c>
      <c r="B56" s="64"/>
      <c r="C56" s="108"/>
      <c r="D56" s="58"/>
      <c r="E56" s="60"/>
      <c r="F56" s="59"/>
      <c r="G56" s="59"/>
      <c r="H56" s="59"/>
      <c r="I56" s="59"/>
      <c r="J56" s="68"/>
      <c r="K56" s="99"/>
      <c r="L56" s="59"/>
      <c r="M56" s="99"/>
      <c r="N56" s="72"/>
    </row>
    <row r="57" spans="1:14" ht="15.75" hidden="1" customHeight="1">
      <c r="A57" s="63">
        <v>37</v>
      </c>
      <c r="B57" s="64"/>
      <c r="C57" s="108"/>
      <c r="D57" s="58"/>
      <c r="E57" s="59"/>
      <c r="F57" s="59"/>
      <c r="G57" s="59"/>
      <c r="H57" s="59"/>
      <c r="I57" s="59"/>
      <c r="J57" s="68"/>
      <c r="K57" s="99"/>
      <c r="L57" s="59"/>
      <c r="M57" s="99"/>
      <c r="N57" s="72"/>
    </row>
    <row r="58" spans="1:14" ht="15.75" hidden="1" customHeight="1">
      <c r="A58" s="63">
        <v>38</v>
      </c>
      <c r="B58" s="64"/>
      <c r="C58" s="108"/>
      <c r="D58" s="58"/>
      <c r="E58" s="59"/>
      <c r="F58" s="59"/>
      <c r="G58" s="59"/>
      <c r="H58" s="59"/>
      <c r="I58" s="59"/>
      <c r="J58" s="68"/>
      <c r="K58" s="99"/>
      <c r="L58" s="59"/>
      <c r="M58" s="99"/>
      <c r="N58" s="72"/>
    </row>
    <row r="59" spans="1:14" ht="15.75" hidden="1" customHeight="1">
      <c r="A59" s="63">
        <v>39</v>
      </c>
      <c r="B59" s="64"/>
      <c r="C59" s="108"/>
      <c r="D59" s="58"/>
      <c r="E59" s="59"/>
      <c r="F59" s="59"/>
      <c r="G59" s="59"/>
      <c r="H59" s="59"/>
      <c r="I59" s="59"/>
      <c r="J59" s="68"/>
      <c r="K59" s="99"/>
      <c r="L59" s="59"/>
      <c r="M59" s="99"/>
      <c r="N59" s="72"/>
    </row>
    <row r="60" spans="1:14" ht="15.75" hidden="1" customHeight="1">
      <c r="A60" s="63">
        <v>40</v>
      </c>
      <c r="B60" s="64"/>
      <c r="C60" s="108"/>
      <c r="D60" s="58"/>
      <c r="E60" s="59"/>
      <c r="F60" s="59"/>
      <c r="G60" s="59"/>
      <c r="H60" s="59"/>
      <c r="I60" s="59"/>
      <c r="J60" s="68"/>
      <c r="K60" s="99"/>
      <c r="L60" s="59"/>
      <c r="M60" s="99"/>
      <c r="N60" s="72"/>
    </row>
    <row r="61" spans="1:14" ht="15.75" hidden="1" customHeight="1">
      <c r="A61" s="63">
        <v>41</v>
      </c>
      <c r="B61" s="64"/>
      <c r="C61" s="108"/>
      <c r="D61" s="58"/>
      <c r="E61" s="60"/>
      <c r="F61" s="59"/>
      <c r="G61" s="59"/>
      <c r="H61" s="59"/>
      <c r="I61" s="59"/>
      <c r="J61" s="68"/>
      <c r="K61" s="99"/>
      <c r="L61" s="59"/>
      <c r="M61" s="99"/>
      <c r="N61" s="72"/>
    </row>
    <row r="62" spans="1:14" ht="15.75" hidden="1" customHeight="1">
      <c r="A62" s="63">
        <v>42</v>
      </c>
      <c r="B62" s="64"/>
      <c r="C62" s="108"/>
      <c r="D62" s="58"/>
      <c r="E62" s="59"/>
      <c r="F62" s="59"/>
      <c r="G62" s="59"/>
      <c r="H62" s="59"/>
      <c r="I62" s="59"/>
      <c r="J62" s="68"/>
      <c r="K62" s="99"/>
      <c r="L62" s="59"/>
      <c r="M62" s="99"/>
      <c r="N62" s="72"/>
    </row>
    <row r="63" spans="1:14" ht="15.75" hidden="1" customHeight="1">
      <c r="A63" s="63">
        <v>43</v>
      </c>
      <c r="B63" s="64"/>
      <c r="C63" s="109"/>
      <c r="D63" s="73"/>
      <c r="E63" s="59"/>
      <c r="F63" s="74"/>
      <c r="G63" s="74"/>
      <c r="H63" s="74"/>
      <c r="I63" s="74"/>
      <c r="J63" s="75"/>
      <c r="K63" s="116"/>
      <c r="L63" s="74"/>
      <c r="M63" s="116"/>
      <c r="N63" s="76"/>
    </row>
    <row r="64" spans="1:14" ht="15.75" hidden="1" customHeight="1">
      <c r="A64" s="63">
        <v>44</v>
      </c>
      <c r="B64" s="64"/>
      <c r="C64" s="108"/>
      <c r="D64" s="58"/>
      <c r="E64" s="59"/>
      <c r="F64" s="59"/>
      <c r="G64" s="59"/>
      <c r="H64" s="59"/>
      <c r="I64" s="59"/>
      <c r="J64" s="68"/>
      <c r="K64" s="99"/>
      <c r="L64" s="59"/>
      <c r="M64" s="99"/>
      <c r="N64" s="72"/>
    </row>
    <row r="65" spans="1:14" ht="15.75" hidden="1" customHeight="1">
      <c r="A65" s="63">
        <v>45</v>
      </c>
      <c r="B65" s="64"/>
      <c r="C65" s="108"/>
      <c r="D65" s="58"/>
      <c r="E65" s="59"/>
      <c r="F65" s="59"/>
      <c r="G65" s="59"/>
      <c r="H65" s="59"/>
      <c r="I65" s="59"/>
      <c r="J65" s="68"/>
      <c r="K65" s="99"/>
      <c r="L65" s="59"/>
      <c r="M65" s="99"/>
      <c r="N65" s="72"/>
    </row>
    <row r="66" spans="1:14" ht="15.75" hidden="1" customHeight="1">
      <c r="A66" s="63">
        <v>46</v>
      </c>
      <c r="B66" s="64"/>
      <c r="C66" s="108"/>
      <c r="D66" s="58"/>
      <c r="E66" s="60"/>
      <c r="F66" s="59"/>
      <c r="G66" s="59"/>
      <c r="H66" s="59"/>
      <c r="I66" s="59"/>
      <c r="J66" s="77"/>
      <c r="K66" s="117"/>
      <c r="L66" s="59"/>
      <c r="M66" s="117"/>
      <c r="N66" s="72"/>
    </row>
    <row r="67" spans="1:14" ht="15.75" hidden="1" customHeight="1">
      <c r="A67" s="63">
        <v>47</v>
      </c>
      <c r="B67" s="64"/>
      <c r="C67" s="108"/>
      <c r="D67" s="58"/>
      <c r="E67" s="59"/>
      <c r="F67" s="59"/>
      <c r="G67" s="59"/>
      <c r="H67" s="59"/>
      <c r="I67" s="59"/>
      <c r="J67" s="68"/>
      <c r="K67" s="99"/>
      <c r="L67" s="59"/>
      <c r="M67" s="99"/>
      <c r="N67" s="72"/>
    </row>
    <row r="68" spans="1:14" ht="15.75" hidden="1" customHeight="1">
      <c r="A68" s="63">
        <v>48</v>
      </c>
      <c r="B68" s="64"/>
      <c r="C68" s="108"/>
      <c r="D68" s="58"/>
      <c r="E68" s="59"/>
      <c r="F68" s="59"/>
      <c r="G68" s="59"/>
      <c r="H68" s="59"/>
      <c r="I68" s="59"/>
      <c r="J68" s="68"/>
      <c r="K68" s="99"/>
      <c r="L68" s="59"/>
      <c r="M68" s="99"/>
      <c r="N68" s="72"/>
    </row>
    <row r="69" spans="1:14" ht="15.75" hidden="1" customHeight="1">
      <c r="A69" s="63">
        <v>49</v>
      </c>
      <c r="B69" s="64"/>
      <c r="C69" s="108"/>
      <c r="D69" s="58"/>
      <c r="E69" s="59"/>
      <c r="F69" s="59"/>
      <c r="G69" s="59"/>
      <c r="H69" s="59"/>
      <c r="I69" s="59"/>
      <c r="J69" s="68"/>
      <c r="K69" s="99"/>
      <c r="L69" s="59"/>
      <c r="M69" s="99"/>
      <c r="N69" s="72"/>
    </row>
    <row r="70" spans="1:14" ht="15.75" hidden="1" customHeight="1">
      <c r="A70" s="63">
        <v>50</v>
      </c>
      <c r="B70" s="64"/>
      <c r="C70" s="108"/>
      <c r="D70" s="58"/>
      <c r="E70" s="59"/>
      <c r="F70" s="59"/>
      <c r="G70" s="59"/>
      <c r="H70" s="59"/>
      <c r="I70" s="59"/>
      <c r="J70" s="68"/>
      <c r="K70" s="99"/>
      <c r="L70" s="59"/>
      <c r="M70" s="99"/>
      <c r="N70" s="72"/>
    </row>
    <row r="71" spans="1:14" ht="15.75" hidden="1" customHeight="1">
      <c r="A71" s="63">
        <v>51</v>
      </c>
      <c r="B71" s="64"/>
      <c r="C71" s="108"/>
      <c r="D71" s="58"/>
      <c r="E71" s="60"/>
      <c r="F71" s="59"/>
      <c r="G71" s="59"/>
      <c r="H71" s="59"/>
      <c r="I71" s="59"/>
      <c r="J71" s="68"/>
      <c r="K71" s="99"/>
      <c r="L71" s="59"/>
      <c r="M71" s="99"/>
      <c r="N71" s="72"/>
    </row>
    <row r="72" spans="1:14" ht="15.75" hidden="1" customHeight="1">
      <c r="A72" s="63">
        <v>52</v>
      </c>
      <c r="B72" s="64"/>
      <c r="C72" s="108"/>
      <c r="D72" s="58"/>
      <c r="E72" s="59"/>
      <c r="F72" s="59"/>
      <c r="G72" s="59"/>
      <c r="H72" s="59"/>
      <c r="I72" s="59"/>
      <c r="J72" s="68"/>
      <c r="K72" s="99"/>
      <c r="L72" s="59"/>
      <c r="M72" s="99"/>
      <c r="N72" s="72"/>
    </row>
    <row r="73" spans="1:14" ht="15.75" hidden="1" customHeight="1">
      <c r="A73" s="63">
        <v>53</v>
      </c>
      <c r="B73" s="64"/>
      <c r="C73" s="108"/>
      <c r="D73" s="58"/>
      <c r="E73" s="59"/>
      <c r="F73" s="59"/>
      <c r="G73" s="59"/>
      <c r="H73" s="59"/>
      <c r="I73" s="59"/>
      <c r="J73" s="68"/>
      <c r="K73" s="99"/>
      <c r="L73" s="59"/>
      <c r="M73" s="99"/>
      <c r="N73" s="72"/>
    </row>
    <row r="74" spans="1:14" ht="15.75" hidden="1" customHeight="1">
      <c r="A74" s="63">
        <v>54</v>
      </c>
      <c r="B74" s="64"/>
      <c r="C74" s="108"/>
      <c r="D74" s="58"/>
      <c r="E74" s="59"/>
      <c r="F74" s="59"/>
      <c r="G74" s="59"/>
      <c r="H74" s="59"/>
      <c r="I74" s="59"/>
      <c r="J74" s="68"/>
      <c r="K74" s="99"/>
      <c r="L74" s="59"/>
      <c r="M74" s="99"/>
      <c r="N74" s="72"/>
    </row>
    <row r="75" spans="1:14" ht="15.75" hidden="1" customHeight="1">
      <c r="A75" s="63">
        <v>55</v>
      </c>
      <c r="B75" s="64"/>
      <c r="C75" s="110"/>
      <c r="D75" s="78"/>
      <c r="E75" s="59"/>
      <c r="F75" s="79"/>
      <c r="G75" s="79"/>
      <c r="H75" s="79"/>
      <c r="I75" s="79"/>
      <c r="J75" s="68"/>
      <c r="K75" s="99"/>
      <c r="L75" s="79"/>
      <c r="M75" s="99"/>
      <c r="N75" s="80"/>
    </row>
    <row r="76" spans="1:14" ht="15.75" hidden="1" customHeight="1">
      <c r="A76" s="63">
        <v>56</v>
      </c>
      <c r="B76" s="64"/>
      <c r="C76" s="110"/>
      <c r="D76" s="78"/>
      <c r="E76" s="79"/>
      <c r="F76" s="79"/>
      <c r="G76" s="79"/>
      <c r="H76" s="79"/>
      <c r="I76" s="79"/>
      <c r="J76" s="68"/>
      <c r="K76" s="99"/>
      <c r="L76" s="79"/>
      <c r="M76" s="99"/>
      <c r="N76" s="80"/>
    </row>
    <row r="77" spans="1:14" ht="15.75" hidden="1" customHeight="1">
      <c r="A77" s="63">
        <v>57</v>
      </c>
      <c r="B77" s="64"/>
      <c r="C77" s="110"/>
      <c r="D77" s="78"/>
      <c r="E77" s="79"/>
      <c r="F77" s="79"/>
      <c r="G77" s="79"/>
      <c r="H77" s="79"/>
      <c r="I77" s="79"/>
      <c r="J77" s="68"/>
      <c r="K77" s="99"/>
      <c r="L77" s="79"/>
      <c r="M77" s="99"/>
      <c r="N77" s="80"/>
    </row>
    <row r="78" spans="1:14" ht="15.75" hidden="1" customHeight="1">
      <c r="A78" s="63">
        <v>58</v>
      </c>
      <c r="B78" s="64"/>
      <c r="C78" s="110"/>
      <c r="D78" s="78"/>
      <c r="E78" s="79"/>
      <c r="F78" s="79"/>
      <c r="G78" s="79"/>
      <c r="H78" s="79"/>
      <c r="I78" s="79"/>
      <c r="J78" s="68"/>
      <c r="K78" s="99"/>
      <c r="L78" s="79"/>
      <c r="M78" s="99"/>
      <c r="N78" s="80"/>
    </row>
    <row r="79" spans="1:14" ht="15.75" hidden="1" customHeight="1">
      <c r="A79" s="63">
        <v>59</v>
      </c>
      <c r="B79" s="64"/>
      <c r="C79" s="110"/>
      <c r="D79" s="78"/>
      <c r="E79" s="79"/>
      <c r="F79" s="79"/>
      <c r="G79" s="79"/>
      <c r="H79" s="79"/>
      <c r="I79" s="79"/>
      <c r="J79" s="68"/>
      <c r="K79" s="99"/>
      <c r="L79" s="79"/>
      <c r="M79" s="99"/>
      <c r="N79" s="80"/>
    </row>
  </sheetData>
  <autoFilter ref="A1:N26" xr:uid="{00000000-0009-0000-0000-000006000000}"/>
  <mergeCells count="2">
    <mergeCell ref="M8:M10"/>
    <mergeCell ref="N8:N10"/>
  </mergeCells>
  <conditionalFormatting sqref="L2:L49">
    <cfRule type="cellIs" dxfId="55" priority="1" operator="equal">
      <formula>"In Process"</formula>
    </cfRule>
    <cfRule type="cellIs" dxfId="54" priority="2" operator="equal">
      <formula>"Not Received"</formula>
    </cfRule>
    <cfRule type="cellIs" dxfId="53" priority="4" operator="equal">
      <formula>"Paid By Client"</formula>
    </cfRule>
    <cfRule type="cellIs" dxfId="52" priority="5" operator="equal">
      <formula>"Payment Received"</formula>
    </cfRule>
  </conditionalFormatting>
  <hyperlinks>
    <hyperlink ref="J18" r:id="rId1" display="                       18,881 " xr:uid="{00000000-0004-0000-0600-000000000000}"/>
    <hyperlink ref="H18" r:id="rId2" xr:uid="{00000000-0004-0000-0600-000001000000}"/>
    <hyperlink ref="H16" r:id="rId3" xr:uid="{00000000-0004-0000-0600-000002000000}"/>
    <hyperlink ref="H15" r:id="rId4" xr:uid="{00000000-0004-0000-0600-000003000000}"/>
    <hyperlink ref="H14" r:id="rId5" xr:uid="{00000000-0004-0000-0600-000004000000}"/>
    <hyperlink ref="H10" r:id="rId6" xr:uid="{00000000-0004-0000-0600-000005000000}"/>
    <hyperlink ref="H8" r:id="rId7" xr:uid="{00000000-0004-0000-0600-000006000000}"/>
    <hyperlink ref="H9" r:id="rId8" xr:uid="{00000000-0004-0000-0600-000007000000}"/>
    <hyperlink ref="M3" r:id="rId9" xr:uid="{00000000-0004-0000-0600-000008000000}"/>
    <hyperlink ref="M8:M10" r:id="rId10" display="   Invoice No.1002   " xr:uid="{00000000-0004-0000-0600-000009000000}"/>
    <hyperlink ref="M16" r:id="rId11" display="    Invoice No.1002    " xr:uid="{00000000-0004-0000-0600-00000A000000}"/>
    <hyperlink ref="M18" r:id="rId12" display="    Invoice No.1002    " xr:uid="{00000000-0004-0000-0600-00000B000000}"/>
    <hyperlink ref="M12" r:id="rId13" display="  Invoice No.959  " xr:uid="{00000000-0004-0000-0600-00000C000000}"/>
    <hyperlink ref="H11" r:id="rId14" xr:uid="{00000000-0004-0000-0600-00000D000000}"/>
    <hyperlink ref="M11" r:id="rId15" display=" Invoice No.1070 " xr:uid="{00000000-0004-0000-0600-00000E000000}"/>
    <hyperlink ref="M7" r:id="rId16" display=" Invoice No. 1050 " xr:uid="{00000000-0004-0000-0600-00000F000000}"/>
    <hyperlink ref="H17" r:id="rId17" xr:uid="{00000000-0004-0000-0600-000010000000}"/>
    <hyperlink ref="H19" r:id="rId18" xr:uid="{00000000-0004-0000-0600-000011000000}"/>
    <hyperlink ref="H20" r:id="rId19" xr:uid="{00000000-0004-0000-0600-000012000000}"/>
    <hyperlink ref="M20" r:id="rId20" xr:uid="{00000000-0004-0000-0600-000013000000}"/>
    <hyperlink ref="M19" r:id="rId21" xr:uid="{00000000-0004-0000-0600-000014000000}"/>
    <hyperlink ref="H21" r:id="rId22" xr:uid="{00000000-0004-0000-0600-000015000000}"/>
    <hyperlink ref="M21" r:id="rId23" xr:uid="{00000000-0004-0000-0600-000016000000}"/>
    <hyperlink ref="M15" r:id="rId24" xr:uid="{00000000-0004-0000-0600-000017000000}"/>
    <hyperlink ref="M17" r:id="rId25" xr:uid="{00000000-0004-0000-0600-000018000000}"/>
    <hyperlink ref="M22" r:id="rId26" xr:uid="{00000000-0004-0000-0600-000019000000}"/>
    <hyperlink ref="J22" r:id="rId27" xr:uid="{00000000-0004-0000-0600-00001A000000}"/>
    <hyperlink ref="J15" r:id="rId28" xr:uid="{00000000-0004-0000-0600-00001B000000}"/>
    <hyperlink ref="J17" r:id="rId29" xr:uid="{00000000-0004-0000-0600-00001C000000}"/>
  </hyperlinks>
  <pageMargins left="0.7" right="0.7" top="0.75" bottom="0.75" header="0" footer="0"/>
  <pageSetup scale="84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79"/>
  <sheetViews>
    <sheetView topLeftCell="F1" workbookViewId="0">
      <pane ySplit="1" topLeftCell="A2" activePane="bottomLeft" state="frozen"/>
      <selection pane="bottomLeft" activeCell="A5" sqref="A5"/>
      <selection activeCell="A5" sqref="A5"/>
    </sheetView>
  </sheetViews>
  <sheetFormatPr defaultColWidth="14.42578125" defaultRowHeight="15" customHeight="1"/>
  <cols>
    <col min="1" max="1" width="8.7109375" customWidth="1"/>
    <col min="2" max="2" width="19" customWidth="1"/>
    <col min="3" max="3" width="19.7109375" customWidth="1"/>
    <col min="4" max="4" width="28.140625" customWidth="1"/>
    <col min="5" max="5" width="40.85546875" bestFit="1" customWidth="1"/>
    <col min="6" max="6" width="24.7109375" customWidth="1"/>
    <col min="7" max="7" width="23" customWidth="1"/>
    <col min="8" max="8" width="26.140625" bestFit="1" customWidth="1"/>
    <col min="9" max="9" width="17.28515625" customWidth="1"/>
    <col min="10" max="11" width="22.7109375" customWidth="1"/>
    <col min="12" max="12" width="21.42578125" customWidth="1"/>
    <col min="13" max="13" width="22.7109375" customWidth="1"/>
    <col min="14" max="14" width="49.42578125" customWidth="1"/>
  </cols>
  <sheetData>
    <row r="1" spans="1:27" ht="33" customHeight="1">
      <c r="A1" s="146" t="s">
        <v>15</v>
      </c>
      <c r="B1" s="149" t="s">
        <v>219</v>
      </c>
      <c r="C1" s="149" t="s">
        <v>220</v>
      </c>
      <c r="D1" s="147" t="s">
        <v>221</v>
      </c>
      <c r="E1" s="147" t="s">
        <v>222</v>
      </c>
      <c r="F1" s="147" t="s">
        <v>223</v>
      </c>
      <c r="G1" s="147" t="s">
        <v>224</v>
      </c>
      <c r="H1" s="147" t="s">
        <v>225</v>
      </c>
      <c r="I1" s="147" t="s">
        <v>226</v>
      </c>
      <c r="J1" s="146" t="s">
        <v>227</v>
      </c>
      <c r="K1" s="148" t="s">
        <v>228</v>
      </c>
      <c r="L1" s="149" t="s">
        <v>229</v>
      </c>
      <c r="M1" s="148" t="s">
        <v>230</v>
      </c>
      <c r="N1" s="146" t="s">
        <v>18</v>
      </c>
    </row>
    <row r="2" spans="1:27" ht="15.75">
      <c r="A2" s="5">
        <v>1</v>
      </c>
      <c r="B2" s="128"/>
      <c r="C2" s="207">
        <v>44925</v>
      </c>
      <c r="D2" s="130" t="s">
        <v>234</v>
      </c>
      <c r="E2" s="131" t="s">
        <v>312</v>
      </c>
      <c r="F2" s="155" t="s">
        <v>313</v>
      </c>
      <c r="G2" s="133" t="s">
        <v>295</v>
      </c>
      <c r="H2" s="154" t="s">
        <v>257</v>
      </c>
      <c r="I2" s="133" t="s">
        <v>265</v>
      </c>
      <c r="J2" s="121">
        <v>12300</v>
      </c>
      <c r="K2" s="150">
        <v>65.680000000000007</v>
      </c>
      <c r="L2" s="234" t="s">
        <v>3</v>
      </c>
      <c r="M2" s="208" t="s">
        <v>314</v>
      </c>
      <c r="N2" s="135" t="s">
        <v>315</v>
      </c>
      <c r="AA2" s="130" t="s">
        <v>234</v>
      </c>
    </row>
    <row r="3" spans="1:27" ht="15.75">
      <c r="A3" s="9">
        <v>2</v>
      </c>
      <c r="B3" s="136">
        <v>44929</v>
      </c>
      <c r="C3" s="207"/>
      <c r="D3" s="130" t="s">
        <v>316</v>
      </c>
      <c r="E3" s="131" t="s">
        <v>317</v>
      </c>
      <c r="F3" s="235">
        <v>6693781522</v>
      </c>
      <c r="G3" s="210" t="s">
        <v>261</v>
      </c>
      <c r="H3" s="154" t="s">
        <v>264</v>
      </c>
      <c r="I3" s="133" t="s">
        <v>265</v>
      </c>
      <c r="J3" s="233">
        <v>10010</v>
      </c>
      <c r="K3" s="150"/>
      <c r="L3" s="137" t="s">
        <v>318</v>
      </c>
      <c r="M3" s="208" t="s">
        <v>319</v>
      </c>
      <c r="N3" s="138" t="s">
        <v>320</v>
      </c>
      <c r="AA3" s="130" t="s">
        <v>316</v>
      </c>
    </row>
    <row r="4" spans="1:27" ht="15.75">
      <c r="A4" s="9">
        <v>3</v>
      </c>
      <c r="B4" s="136"/>
      <c r="C4" s="139">
        <v>44929</v>
      </c>
      <c r="D4" s="130" t="s">
        <v>321</v>
      </c>
      <c r="E4" s="131" t="s">
        <v>322</v>
      </c>
      <c r="F4" s="235">
        <v>306037404366</v>
      </c>
      <c r="G4" s="210" t="s">
        <v>271</v>
      </c>
      <c r="H4" s="133"/>
      <c r="I4" s="133" t="s">
        <v>323</v>
      </c>
      <c r="J4" s="123">
        <v>500</v>
      </c>
      <c r="K4" s="150"/>
      <c r="L4" s="137" t="s">
        <v>3</v>
      </c>
      <c r="M4" s="69"/>
      <c r="N4" s="226" t="s">
        <v>324</v>
      </c>
      <c r="AA4" s="130" t="s">
        <v>321</v>
      </c>
    </row>
    <row r="5" spans="1:27" ht="15.75">
      <c r="A5" s="9">
        <v>4</v>
      </c>
      <c r="B5" s="136">
        <v>44933</v>
      </c>
      <c r="C5" s="139"/>
      <c r="D5" s="130" t="s">
        <v>321</v>
      </c>
      <c r="E5" s="131" t="s">
        <v>325</v>
      </c>
      <c r="F5" s="235">
        <v>392983379344</v>
      </c>
      <c r="G5" s="132" t="s">
        <v>233</v>
      </c>
      <c r="H5" s="133"/>
      <c r="I5" s="133" t="s">
        <v>323</v>
      </c>
      <c r="J5" s="124">
        <f>74650.1+18000</f>
        <v>92650.1</v>
      </c>
      <c r="K5" s="150">
        <v>400</v>
      </c>
      <c r="L5" s="137" t="s">
        <v>3</v>
      </c>
      <c r="M5" s="208" t="s">
        <v>326</v>
      </c>
      <c r="N5" s="236" t="s">
        <v>327</v>
      </c>
    </row>
    <row r="6" spans="1:27" ht="15.75">
      <c r="A6" s="9">
        <v>5</v>
      </c>
      <c r="B6" s="136"/>
      <c r="C6" s="139">
        <v>44935</v>
      </c>
      <c r="D6" s="130" t="s">
        <v>316</v>
      </c>
      <c r="E6" s="131" t="s">
        <v>328</v>
      </c>
      <c r="F6" s="156" t="s">
        <v>299</v>
      </c>
      <c r="G6" s="132" t="s">
        <v>295</v>
      </c>
      <c r="H6" s="154" t="s">
        <v>264</v>
      </c>
      <c r="I6" s="133" t="s">
        <v>265</v>
      </c>
      <c r="J6" s="124">
        <f>22000+5500</f>
        <v>27500</v>
      </c>
      <c r="K6" s="150"/>
      <c r="L6" s="137" t="s">
        <v>318</v>
      </c>
      <c r="M6" s="208" t="s">
        <v>329</v>
      </c>
      <c r="N6" s="140"/>
    </row>
    <row r="7" spans="1:27" ht="15.75">
      <c r="A7" s="187">
        <v>6</v>
      </c>
      <c r="B7" s="188"/>
      <c r="C7" s="139"/>
      <c r="D7" s="190"/>
      <c r="E7" s="191"/>
      <c r="F7" s="192"/>
      <c r="G7" s="193"/>
      <c r="H7" s="133"/>
      <c r="I7" s="133"/>
      <c r="J7" s="194"/>
      <c r="K7" s="150"/>
      <c r="L7" s="137"/>
      <c r="M7" s="69"/>
      <c r="N7" s="140"/>
    </row>
    <row r="8" spans="1:27" ht="15.75">
      <c r="A8" s="9">
        <v>7</v>
      </c>
      <c r="B8" s="136"/>
      <c r="C8" s="139"/>
      <c r="D8" s="130"/>
      <c r="E8" s="131"/>
      <c r="F8" s="156"/>
      <c r="G8" s="132"/>
      <c r="H8" s="133"/>
      <c r="I8" s="133"/>
      <c r="J8" s="124"/>
      <c r="K8" s="150"/>
      <c r="L8" s="137"/>
      <c r="M8" s="69"/>
      <c r="N8" s="140"/>
    </row>
    <row r="9" spans="1:27" ht="15.75">
      <c r="A9" s="9">
        <v>8</v>
      </c>
      <c r="B9" s="136"/>
      <c r="C9" s="139"/>
      <c r="D9" s="130"/>
      <c r="E9" s="131"/>
      <c r="F9" s="156"/>
      <c r="G9" s="132"/>
      <c r="H9" s="133"/>
      <c r="I9" s="133"/>
      <c r="J9" s="124"/>
      <c r="K9" s="150"/>
      <c r="L9" s="137"/>
      <c r="M9" s="69"/>
      <c r="N9" s="140"/>
    </row>
    <row r="10" spans="1:27" ht="15.75">
      <c r="A10" s="9">
        <v>9</v>
      </c>
      <c r="B10" s="136"/>
      <c r="C10" s="139"/>
      <c r="D10" s="130"/>
      <c r="E10" s="131"/>
      <c r="F10" s="156"/>
      <c r="G10" s="132"/>
      <c r="H10" s="133"/>
      <c r="I10" s="133"/>
      <c r="J10" s="124"/>
      <c r="K10" s="150"/>
      <c r="L10" s="137"/>
      <c r="M10" s="69"/>
      <c r="N10" s="140"/>
    </row>
    <row r="11" spans="1:27" ht="15.75">
      <c r="A11" s="9">
        <v>10</v>
      </c>
      <c r="B11" s="128"/>
      <c r="C11" s="139"/>
      <c r="D11" s="130"/>
      <c r="E11" s="131"/>
      <c r="F11" s="156"/>
      <c r="G11" s="132"/>
      <c r="H11" s="133"/>
      <c r="I11" s="133"/>
      <c r="J11" s="124"/>
      <c r="K11" s="150"/>
      <c r="L11" s="137"/>
      <c r="M11" s="69"/>
      <c r="N11" s="140"/>
    </row>
    <row r="12" spans="1:27" ht="15.75">
      <c r="A12" s="9">
        <v>11</v>
      </c>
      <c r="B12" s="128"/>
      <c r="C12" s="129"/>
      <c r="D12" s="130"/>
      <c r="E12" s="131"/>
      <c r="F12" s="197"/>
      <c r="G12" s="132"/>
      <c r="H12" s="133"/>
      <c r="I12" s="133"/>
      <c r="J12" s="124"/>
      <c r="K12" s="150"/>
      <c r="L12" s="137"/>
      <c r="M12" s="69"/>
      <c r="N12" s="140"/>
    </row>
    <row r="13" spans="1:27" ht="15.75">
      <c r="A13" s="195">
        <v>12</v>
      </c>
      <c r="B13" s="128"/>
      <c r="C13" s="129"/>
      <c r="D13" s="130"/>
      <c r="E13" s="131"/>
      <c r="F13" s="197"/>
      <c r="G13" s="198"/>
      <c r="H13" s="133"/>
      <c r="I13" s="133"/>
      <c r="J13" s="124"/>
      <c r="K13" s="150"/>
      <c r="L13" s="198"/>
      <c r="M13" s="163"/>
      <c r="N13" s="138"/>
    </row>
    <row r="14" spans="1:27" ht="15.75">
      <c r="A14" s="9">
        <v>13</v>
      </c>
      <c r="B14" s="136"/>
      <c r="C14" s="139"/>
      <c r="D14" s="130"/>
      <c r="E14" s="131"/>
      <c r="F14" s="157"/>
      <c r="G14" s="137"/>
      <c r="H14" s="133"/>
      <c r="I14" s="137"/>
      <c r="J14" s="124"/>
      <c r="K14" s="150"/>
      <c r="L14" s="137"/>
      <c r="M14" s="69"/>
      <c r="N14" s="138"/>
    </row>
    <row r="15" spans="1:27" ht="15.75">
      <c r="A15" s="9">
        <v>14</v>
      </c>
      <c r="B15" s="136"/>
      <c r="C15" s="139"/>
      <c r="D15" s="130"/>
      <c r="E15" s="131"/>
      <c r="F15" s="157"/>
      <c r="G15" s="137"/>
      <c r="H15" s="154"/>
      <c r="I15" s="137"/>
      <c r="J15" s="224"/>
      <c r="K15" s="150"/>
      <c r="L15" s="137"/>
      <c r="M15" s="208"/>
      <c r="N15" s="138"/>
    </row>
    <row r="16" spans="1:27" ht="15.75">
      <c r="A16" s="9">
        <v>15</v>
      </c>
      <c r="B16" s="136"/>
      <c r="C16" s="139"/>
      <c r="D16" s="130"/>
      <c r="E16" s="131"/>
      <c r="F16" s="157"/>
      <c r="G16" s="137"/>
      <c r="H16" s="154"/>
      <c r="I16" s="137"/>
      <c r="J16" s="124"/>
      <c r="K16" s="150"/>
      <c r="L16" s="137"/>
      <c r="M16" s="161"/>
      <c r="N16" s="138"/>
    </row>
    <row r="17" spans="1:14" ht="15.75">
      <c r="A17" s="9">
        <v>16</v>
      </c>
      <c r="B17" s="136"/>
      <c r="C17" s="139"/>
      <c r="D17" s="130"/>
      <c r="E17" s="131"/>
      <c r="F17" s="157"/>
      <c r="G17" s="137"/>
      <c r="H17" s="154"/>
      <c r="I17" s="137"/>
      <c r="J17" s="224"/>
      <c r="K17" s="150"/>
      <c r="L17" s="137"/>
      <c r="M17" s="208"/>
      <c r="N17" s="138"/>
    </row>
    <row r="18" spans="1:14" ht="15.75">
      <c r="A18" s="9">
        <v>17</v>
      </c>
      <c r="B18" s="136"/>
      <c r="C18" s="139"/>
      <c r="D18" s="130"/>
      <c r="E18" s="131"/>
      <c r="F18" s="157"/>
      <c r="G18" s="137"/>
      <c r="H18" s="154"/>
      <c r="I18" s="137"/>
      <c r="J18" s="125"/>
      <c r="K18" s="150"/>
      <c r="L18" s="137"/>
      <c r="M18" s="161"/>
      <c r="N18" s="138"/>
    </row>
    <row r="19" spans="1:14" ht="15.75">
      <c r="A19" s="9">
        <v>18</v>
      </c>
      <c r="B19" s="136"/>
      <c r="C19" s="139"/>
      <c r="D19" s="130"/>
      <c r="E19" s="131"/>
      <c r="F19" s="157"/>
      <c r="G19" s="137"/>
      <c r="H19" s="154"/>
      <c r="I19" s="137"/>
      <c r="J19" s="124"/>
      <c r="K19" s="151"/>
      <c r="L19" s="137"/>
      <c r="M19" s="208"/>
      <c r="N19" s="138"/>
    </row>
    <row r="20" spans="1:14" ht="15.75">
      <c r="A20" s="9">
        <v>19</v>
      </c>
      <c r="B20" s="136"/>
      <c r="C20" s="139"/>
      <c r="D20" s="130"/>
      <c r="E20" s="142"/>
      <c r="F20" s="157"/>
      <c r="G20" s="137"/>
      <c r="H20" s="154"/>
      <c r="I20" s="137"/>
      <c r="J20" s="124"/>
      <c r="K20" s="151"/>
      <c r="L20" s="137"/>
      <c r="M20" s="208"/>
      <c r="N20" s="138"/>
    </row>
    <row r="21" spans="1:14" ht="15.75">
      <c r="A21" s="9">
        <v>20</v>
      </c>
      <c r="B21" s="136"/>
      <c r="C21" s="139"/>
      <c r="D21" s="130"/>
      <c r="E21" s="142"/>
      <c r="F21" s="157"/>
      <c r="G21" s="137"/>
      <c r="H21" s="210"/>
      <c r="I21" s="137"/>
      <c r="J21" s="124"/>
      <c r="K21" s="151"/>
      <c r="L21" s="137"/>
      <c r="M21" s="211"/>
      <c r="N21" s="138"/>
    </row>
    <row r="22" spans="1:14" ht="15.75">
      <c r="A22" s="9">
        <v>21</v>
      </c>
      <c r="B22" s="136"/>
      <c r="C22" s="139"/>
      <c r="D22" s="130"/>
      <c r="E22" s="142"/>
      <c r="F22" s="157"/>
      <c r="G22" s="137"/>
      <c r="H22" s="137"/>
      <c r="I22" s="137"/>
      <c r="J22" s="224"/>
      <c r="K22" s="151"/>
      <c r="L22" s="137"/>
      <c r="M22" s="211"/>
      <c r="N22" s="138"/>
    </row>
    <row r="23" spans="1:14" ht="15.75">
      <c r="A23" s="9">
        <v>22</v>
      </c>
      <c r="B23" s="136"/>
      <c r="C23" s="139"/>
      <c r="D23" s="130"/>
      <c r="E23" s="142"/>
      <c r="F23" s="157"/>
      <c r="G23" s="137"/>
      <c r="H23" s="137"/>
      <c r="I23" s="137"/>
      <c r="J23" s="124"/>
      <c r="K23" s="151"/>
      <c r="L23" s="137"/>
      <c r="M23" s="120"/>
      <c r="N23" s="138"/>
    </row>
    <row r="24" spans="1:14" ht="15.75">
      <c r="A24" s="9">
        <v>23</v>
      </c>
      <c r="B24" s="136"/>
      <c r="C24" s="139"/>
      <c r="D24" s="130"/>
      <c r="E24" s="142"/>
      <c r="F24" s="157"/>
      <c r="G24" s="137"/>
      <c r="H24" s="137"/>
      <c r="I24" s="137"/>
      <c r="J24" s="124"/>
      <c r="K24" s="151"/>
      <c r="L24" s="137"/>
      <c r="M24" s="120"/>
      <c r="N24" s="138"/>
    </row>
    <row r="25" spans="1:14" ht="15.75">
      <c r="A25" s="9">
        <v>24</v>
      </c>
      <c r="B25" s="136"/>
      <c r="C25" s="139"/>
      <c r="D25" s="130"/>
      <c r="E25" s="141"/>
      <c r="F25" s="157"/>
      <c r="G25" s="137"/>
      <c r="H25" s="137"/>
      <c r="I25" s="137"/>
      <c r="J25" s="124"/>
      <c r="K25" s="151"/>
      <c r="L25" s="137"/>
      <c r="M25" s="120"/>
      <c r="N25" s="143"/>
    </row>
    <row r="26" spans="1:14" ht="15.75" customHeight="1">
      <c r="A26" s="9">
        <v>25</v>
      </c>
      <c r="B26" s="136"/>
      <c r="C26" s="139"/>
      <c r="D26" s="130"/>
      <c r="E26" s="131"/>
      <c r="F26" s="157"/>
      <c r="G26" s="137"/>
      <c r="H26" s="137"/>
      <c r="I26" s="137"/>
      <c r="J26" s="124"/>
      <c r="K26" s="151"/>
      <c r="L26" s="137"/>
      <c r="M26" s="120"/>
      <c r="N26" s="140"/>
    </row>
    <row r="27" spans="1:14" ht="15.75" customHeight="1">
      <c r="A27" s="9"/>
      <c r="B27" s="136"/>
      <c r="C27" s="139"/>
      <c r="D27" s="130"/>
      <c r="E27" s="131"/>
      <c r="F27" s="157"/>
      <c r="G27" s="137"/>
      <c r="H27" s="137"/>
      <c r="I27" s="137"/>
      <c r="J27" s="124"/>
      <c r="K27" s="151"/>
      <c r="L27" s="137"/>
      <c r="M27" s="120"/>
      <c r="N27" s="140"/>
    </row>
    <row r="28" spans="1:14" ht="15.75" customHeight="1">
      <c r="A28" s="9"/>
      <c r="B28" s="136"/>
      <c r="C28" s="139"/>
      <c r="D28" s="130"/>
      <c r="E28" s="131"/>
      <c r="F28" s="157"/>
      <c r="G28" s="137"/>
      <c r="H28" s="137"/>
      <c r="I28" s="137"/>
      <c r="J28" s="126"/>
      <c r="K28" s="151"/>
      <c r="L28" s="137"/>
      <c r="M28" s="120"/>
      <c r="N28" s="143"/>
    </row>
    <row r="29" spans="1:14" ht="15.75" customHeight="1">
      <c r="A29" s="9"/>
      <c r="B29" s="136"/>
      <c r="C29" s="139"/>
      <c r="D29" s="130"/>
      <c r="E29" s="131"/>
      <c r="F29" s="157"/>
      <c r="G29" s="137"/>
      <c r="H29" s="137"/>
      <c r="I29" s="137"/>
      <c r="J29" s="127"/>
      <c r="K29" s="151"/>
      <c r="L29" s="137"/>
      <c r="M29" s="120"/>
      <c r="N29" s="140"/>
    </row>
    <row r="30" spans="1:14" ht="15.75" customHeight="1">
      <c r="A30" s="9"/>
      <c r="B30" s="136"/>
      <c r="C30" s="139"/>
      <c r="D30" s="130"/>
      <c r="E30" s="131"/>
      <c r="F30" s="157"/>
      <c r="G30" s="137"/>
      <c r="H30" s="137"/>
      <c r="I30" s="137"/>
      <c r="J30" s="127"/>
      <c r="K30" s="151"/>
      <c r="L30" s="144"/>
      <c r="M30" s="120"/>
      <c r="N30" s="140"/>
    </row>
    <row r="31" spans="1:14" ht="15.75" customHeight="1">
      <c r="A31" s="9"/>
      <c r="B31" s="136"/>
      <c r="C31" s="139"/>
      <c r="D31" s="130"/>
      <c r="E31" s="142"/>
      <c r="F31" s="157"/>
      <c r="G31" s="137"/>
      <c r="H31" s="137"/>
      <c r="I31" s="137"/>
      <c r="J31" s="127"/>
      <c r="K31" s="151"/>
      <c r="L31" s="144"/>
      <c r="M31" s="120"/>
      <c r="N31" s="140"/>
    </row>
    <row r="32" spans="1:14" ht="15.75" customHeight="1">
      <c r="A32" s="9"/>
      <c r="B32" s="136"/>
      <c r="C32" s="139"/>
      <c r="D32" s="130"/>
      <c r="E32" s="142"/>
      <c r="F32" s="157"/>
      <c r="G32" s="137"/>
      <c r="H32" s="137"/>
      <c r="I32" s="137"/>
      <c r="J32" s="127"/>
      <c r="K32" s="151"/>
      <c r="L32" s="144"/>
      <c r="M32" s="120"/>
      <c r="N32" s="140"/>
    </row>
    <row r="33" spans="1:14" ht="15.75" customHeight="1">
      <c r="A33" s="9"/>
      <c r="B33" s="136"/>
      <c r="C33" s="139"/>
      <c r="D33" s="130"/>
      <c r="E33" s="142"/>
      <c r="F33" s="157"/>
      <c r="G33" s="137"/>
      <c r="H33" s="137"/>
      <c r="I33" s="137"/>
      <c r="J33" s="127"/>
      <c r="K33" s="151"/>
      <c r="L33" s="144"/>
      <c r="M33" s="120"/>
      <c r="N33" s="140"/>
    </row>
    <row r="34" spans="1:14" ht="15.75" customHeight="1">
      <c r="A34" s="9"/>
      <c r="B34" s="136"/>
      <c r="C34" s="139"/>
      <c r="D34" s="130"/>
      <c r="E34" s="141"/>
      <c r="F34" s="158"/>
      <c r="G34" s="145"/>
      <c r="H34" s="145"/>
      <c r="I34" s="145"/>
      <c r="J34" s="127"/>
      <c r="K34" s="151"/>
      <c r="L34" s="144"/>
      <c r="M34" s="118"/>
      <c r="N34" s="140"/>
    </row>
    <row r="35" spans="1:14" ht="15.75" customHeight="1">
      <c r="A35" s="9"/>
      <c r="B35" s="136"/>
      <c r="C35" s="139"/>
      <c r="D35" s="130"/>
      <c r="E35" s="141"/>
      <c r="F35" s="158"/>
      <c r="G35" s="145"/>
      <c r="H35" s="145"/>
      <c r="I35" s="145"/>
      <c r="J35" s="127"/>
      <c r="K35" s="151"/>
      <c r="L35" s="137"/>
      <c r="M35" s="118"/>
      <c r="N35" s="140"/>
    </row>
    <row r="36" spans="1:14" ht="15.75" customHeight="1">
      <c r="A36" s="63"/>
      <c r="B36" s="83"/>
      <c r="C36" s="84"/>
      <c r="D36" s="58"/>
      <c r="E36" s="82"/>
      <c r="F36" s="159"/>
      <c r="G36" s="59"/>
      <c r="H36" s="59"/>
      <c r="I36" s="59"/>
      <c r="J36" s="68"/>
      <c r="K36" s="152"/>
      <c r="L36" s="59"/>
      <c r="M36" s="118"/>
      <c r="N36" s="69"/>
    </row>
    <row r="37" spans="1:14" ht="15.75" customHeight="1">
      <c r="A37" s="63"/>
      <c r="B37" s="83"/>
      <c r="C37" s="84"/>
      <c r="D37" s="58"/>
      <c r="E37" s="82"/>
      <c r="F37" s="159"/>
      <c r="G37" s="59"/>
      <c r="H37" s="59"/>
      <c r="I37" s="59"/>
      <c r="J37" s="68"/>
      <c r="K37" s="118"/>
      <c r="L37" s="59"/>
      <c r="M37" s="118"/>
      <c r="N37" s="69"/>
    </row>
    <row r="38" spans="1:14" ht="15.75" customHeight="1">
      <c r="A38" s="63"/>
      <c r="B38" s="83"/>
      <c r="C38" s="84"/>
      <c r="D38" s="58"/>
      <c r="E38" s="86"/>
      <c r="F38" s="159"/>
      <c r="G38" s="59"/>
      <c r="H38" s="59"/>
      <c r="I38" s="59"/>
      <c r="J38" s="68"/>
      <c r="K38" s="118"/>
      <c r="L38" s="59"/>
      <c r="M38" s="118"/>
      <c r="N38" s="69"/>
    </row>
    <row r="39" spans="1:14" ht="15.75" customHeight="1">
      <c r="A39" s="63"/>
      <c r="B39" s="83"/>
      <c r="C39" s="84"/>
      <c r="D39" s="58"/>
      <c r="E39" s="85"/>
      <c r="F39" s="159"/>
      <c r="G39" s="59"/>
      <c r="H39" s="59"/>
      <c r="I39" s="59"/>
      <c r="J39" s="68"/>
      <c r="K39" s="118"/>
      <c r="L39" s="59"/>
      <c r="M39" s="118"/>
      <c r="N39" s="69"/>
    </row>
    <row r="40" spans="1:14" ht="15.75" customHeight="1">
      <c r="A40" s="63"/>
      <c r="B40" s="83"/>
      <c r="C40" s="84"/>
      <c r="D40" s="58"/>
      <c r="E40" s="85"/>
      <c r="F40" s="87"/>
      <c r="G40" s="87"/>
      <c r="H40" s="87"/>
      <c r="I40" s="87"/>
      <c r="J40" s="68"/>
      <c r="K40" s="118"/>
      <c r="L40" s="59"/>
      <c r="M40" s="160"/>
    </row>
    <row r="41" spans="1:14" ht="15.75" customHeight="1">
      <c r="A41" s="63"/>
      <c r="B41" s="83"/>
      <c r="C41" s="84"/>
      <c r="D41" s="58"/>
      <c r="E41" s="82"/>
      <c r="F41" s="59"/>
      <c r="G41" s="59"/>
      <c r="H41" s="59"/>
      <c r="I41" s="59"/>
      <c r="J41" s="68"/>
      <c r="K41" s="118"/>
      <c r="L41" s="59"/>
      <c r="M41" s="118"/>
      <c r="N41" s="62"/>
    </row>
    <row r="42" spans="1:14" ht="15.75" customHeight="1">
      <c r="A42" s="63"/>
      <c r="B42" s="83"/>
      <c r="C42" s="84"/>
      <c r="D42" s="58"/>
      <c r="E42" s="82"/>
      <c r="F42" s="59"/>
      <c r="G42" s="59"/>
      <c r="H42" s="59"/>
      <c r="I42" s="59"/>
      <c r="J42" s="68"/>
      <c r="K42" s="118"/>
      <c r="L42" s="59"/>
      <c r="M42" s="118"/>
      <c r="N42" s="72"/>
    </row>
    <row r="43" spans="1:14" ht="15.75" customHeight="1">
      <c r="A43" s="63"/>
      <c r="B43" s="83"/>
      <c r="C43" s="84"/>
      <c r="D43" s="58"/>
      <c r="E43" s="82"/>
      <c r="F43" s="59"/>
      <c r="G43" s="59"/>
      <c r="H43" s="59"/>
      <c r="I43" s="59"/>
      <c r="J43" s="68"/>
      <c r="K43" s="118"/>
      <c r="L43" s="59"/>
      <c r="M43" s="118"/>
      <c r="N43" s="69"/>
    </row>
    <row r="44" spans="1:14" ht="15.75" customHeight="1">
      <c r="A44" s="63"/>
      <c r="B44" s="83"/>
      <c r="C44" s="84"/>
      <c r="D44" s="58"/>
      <c r="E44" s="85"/>
      <c r="F44" s="59"/>
      <c r="G44" s="59"/>
      <c r="H44" s="59"/>
      <c r="I44" s="59"/>
      <c r="J44" s="68"/>
      <c r="K44" s="118"/>
      <c r="L44" s="59"/>
      <c r="M44" s="118"/>
      <c r="N44" s="69"/>
    </row>
    <row r="45" spans="1:14" ht="15.75" customHeight="1">
      <c r="A45" s="63"/>
      <c r="B45" s="83"/>
      <c r="C45" s="84"/>
      <c r="D45" s="58"/>
      <c r="E45" s="82"/>
      <c r="F45" s="59"/>
      <c r="G45" s="59"/>
      <c r="H45" s="59"/>
      <c r="I45" s="59"/>
      <c r="J45" s="68"/>
      <c r="K45" s="118"/>
      <c r="L45" s="59"/>
      <c r="M45" s="118"/>
      <c r="N45" s="69"/>
    </row>
    <row r="46" spans="1:14" ht="15.75" customHeight="1">
      <c r="A46" s="63"/>
      <c r="B46" s="83"/>
      <c r="C46" s="84"/>
      <c r="D46" s="58"/>
      <c r="E46" s="82"/>
      <c r="F46" s="59"/>
      <c r="G46" s="59"/>
      <c r="H46" s="59"/>
      <c r="I46" s="59"/>
      <c r="J46" s="68"/>
      <c r="K46" s="118"/>
      <c r="L46" s="59"/>
      <c r="M46" s="118"/>
      <c r="N46" s="69"/>
    </row>
    <row r="47" spans="1:14" ht="15.75" customHeight="1">
      <c r="A47" s="63"/>
      <c r="B47" s="83"/>
      <c r="C47" s="84"/>
      <c r="D47" s="58"/>
      <c r="E47" s="82"/>
      <c r="F47" s="59"/>
      <c r="G47" s="59"/>
      <c r="H47" s="59"/>
      <c r="I47" s="59"/>
      <c r="J47" s="68"/>
      <c r="K47" s="118"/>
      <c r="L47" s="59"/>
      <c r="M47" s="118"/>
      <c r="N47" s="69"/>
    </row>
    <row r="48" spans="1:14" ht="15.75" customHeight="1">
      <c r="A48" s="63"/>
      <c r="B48" s="83"/>
      <c r="C48" s="84"/>
      <c r="D48" s="58"/>
      <c r="E48" s="82"/>
      <c r="F48" s="59"/>
      <c r="G48" s="59"/>
      <c r="H48" s="59"/>
      <c r="I48" s="59"/>
      <c r="J48" s="68"/>
      <c r="K48" s="118"/>
      <c r="L48" s="59"/>
      <c r="M48" s="118"/>
      <c r="N48" s="69"/>
    </row>
    <row r="49" spans="1:14" ht="15.75" customHeight="1">
      <c r="A49" s="88"/>
      <c r="B49" s="89"/>
      <c r="C49" s="90"/>
      <c r="D49" s="91"/>
      <c r="E49" s="92"/>
      <c r="F49" s="93"/>
      <c r="G49" s="93"/>
      <c r="H49" s="94"/>
      <c r="I49" s="94"/>
      <c r="J49" s="95"/>
      <c r="K49" s="119"/>
      <c r="L49" s="94"/>
      <c r="M49" s="119"/>
      <c r="N49" s="69"/>
    </row>
    <row r="50" spans="1:14" ht="15.75" customHeight="1">
      <c r="A50" s="96"/>
      <c r="B50" s="96"/>
      <c r="C50" s="96"/>
      <c r="D50" s="96"/>
      <c r="E50" s="96"/>
      <c r="F50" s="96"/>
      <c r="G50" s="96"/>
      <c r="H50" s="96"/>
      <c r="I50" s="96"/>
      <c r="J50" s="98">
        <f>SUM(J2:J49)</f>
        <v>142960.1</v>
      </c>
      <c r="K50" s="98"/>
      <c r="L50" s="97" t="s">
        <v>123</v>
      </c>
      <c r="M50" s="98"/>
      <c r="N50" s="99"/>
    </row>
    <row r="51" spans="1:14" ht="15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98">
        <f>SUMIF(J2:J49,L51,J2:J49)</f>
        <v>0</v>
      </c>
      <c r="K51" s="98"/>
      <c r="L51" s="101" t="s">
        <v>179</v>
      </c>
      <c r="M51" s="98"/>
      <c r="N51" s="99"/>
    </row>
    <row r="52" spans="1:14" ht="15.75" customHeight="1">
      <c r="A52" s="102"/>
      <c r="B52" s="102"/>
      <c r="C52" s="102"/>
      <c r="D52" s="102"/>
      <c r="E52" s="102"/>
      <c r="F52" s="102"/>
      <c r="G52" s="102"/>
      <c r="H52" s="102"/>
      <c r="I52" s="102"/>
      <c r="J52" s="98">
        <f>SUMIF(J2:J49,L52,J2:J49)</f>
        <v>0</v>
      </c>
      <c r="K52" s="98"/>
      <c r="L52" s="103" t="s">
        <v>183</v>
      </c>
      <c r="M52" s="98"/>
      <c r="N52" s="99"/>
    </row>
    <row r="53" spans="1:14" ht="15.75" hidden="1" customHeight="1">
      <c r="A53" s="104">
        <v>33</v>
      </c>
      <c r="B53" s="57"/>
      <c r="C53" s="105"/>
      <c r="D53" s="106"/>
      <c r="E53" s="107"/>
      <c r="F53" s="107"/>
      <c r="G53" s="107"/>
      <c r="H53" s="107"/>
      <c r="I53" s="107"/>
      <c r="J53" s="67"/>
      <c r="K53" s="115"/>
      <c r="L53" s="107"/>
      <c r="M53" s="115"/>
      <c r="N53" s="69"/>
    </row>
    <row r="54" spans="1:14" ht="15.75" hidden="1" customHeight="1">
      <c r="A54" s="63">
        <v>34</v>
      </c>
      <c r="B54" s="64"/>
      <c r="C54" s="108"/>
      <c r="D54" s="58"/>
      <c r="E54" s="59"/>
      <c r="F54" s="59"/>
      <c r="G54" s="59"/>
      <c r="H54" s="59"/>
      <c r="I54" s="59"/>
      <c r="J54" s="68"/>
      <c r="K54" s="99"/>
      <c r="L54" s="59"/>
      <c r="M54" s="99"/>
      <c r="N54" s="72"/>
    </row>
    <row r="55" spans="1:14" ht="15.75" hidden="1" customHeight="1">
      <c r="A55" s="63">
        <v>35</v>
      </c>
      <c r="B55" s="64"/>
      <c r="C55" s="108"/>
      <c r="D55" s="58"/>
      <c r="E55" s="59"/>
      <c r="F55" s="59"/>
      <c r="G55" s="59"/>
      <c r="H55" s="59"/>
      <c r="I55" s="59"/>
      <c r="J55" s="68"/>
      <c r="K55" s="99"/>
      <c r="L55" s="59"/>
      <c r="M55" s="99"/>
      <c r="N55" s="72"/>
    </row>
    <row r="56" spans="1:14" ht="15.75" hidden="1" customHeight="1">
      <c r="A56" s="63">
        <v>36</v>
      </c>
      <c r="B56" s="64"/>
      <c r="C56" s="108"/>
      <c r="D56" s="58"/>
      <c r="E56" s="60"/>
      <c r="F56" s="59"/>
      <c r="G56" s="59"/>
      <c r="H56" s="59"/>
      <c r="I56" s="59"/>
      <c r="J56" s="68"/>
      <c r="K56" s="99"/>
      <c r="L56" s="59"/>
      <c r="M56" s="99"/>
      <c r="N56" s="72"/>
    </row>
    <row r="57" spans="1:14" ht="15.75" hidden="1" customHeight="1">
      <c r="A57" s="63">
        <v>37</v>
      </c>
      <c r="B57" s="64"/>
      <c r="C57" s="108"/>
      <c r="D57" s="58"/>
      <c r="E57" s="59"/>
      <c r="F57" s="59"/>
      <c r="G57" s="59"/>
      <c r="H57" s="59"/>
      <c r="I57" s="59"/>
      <c r="J57" s="68"/>
      <c r="K57" s="99"/>
      <c r="L57" s="59"/>
      <c r="M57" s="99"/>
      <c r="N57" s="72"/>
    </row>
    <row r="58" spans="1:14" ht="15.75" hidden="1" customHeight="1">
      <c r="A58" s="63">
        <v>38</v>
      </c>
      <c r="B58" s="64"/>
      <c r="C58" s="108"/>
      <c r="D58" s="58"/>
      <c r="E58" s="59"/>
      <c r="F58" s="59"/>
      <c r="G58" s="59"/>
      <c r="H58" s="59"/>
      <c r="I58" s="59"/>
      <c r="J58" s="68"/>
      <c r="K58" s="99"/>
      <c r="L58" s="59"/>
      <c r="M58" s="99"/>
      <c r="N58" s="72"/>
    </row>
    <row r="59" spans="1:14" ht="15.75" hidden="1" customHeight="1">
      <c r="A59" s="63">
        <v>39</v>
      </c>
      <c r="B59" s="64"/>
      <c r="C59" s="108"/>
      <c r="D59" s="58"/>
      <c r="E59" s="59"/>
      <c r="F59" s="59"/>
      <c r="G59" s="59"/>
      <c r="H59" s="59"/>
      <c r="I59" s="59"/>
      <c r="J59" s="68"/>
      <c r="K59" s="99"/>
      <c r="L59" s="59"/>
      <c r="M59" s="99"/>
      <c r="N59" s="72"/>
    </row>
    <row r="60" spans="1:14" ht="15.75" hidden="1" customHeight="1">
      <c r="A60" s="63">
        <v>40</v>
      </c>
      <c r="B60" s="64"/>
      <c r="C60" s="108"/>
      <c r="D60" s="58"/>
      <c r="E60" s="59"/>
      <c r="F60" s="59"/>
      <c r="G60" s="59"/>
      <c r="H60" s="59"/>
      <c r="I60" s="59"/>
      <c r="J60" s="68"/>
      <c r="K60" s="99"/>
      <c r="L60" s="59"/>
      <c r="M60" s="99"/>
      <c r="N60" s="72"/>
    </row>
    <row r="61" spans="1:14" ht="15.75" hidden="1" customHeight="1">
      <c r="A61" s="63">
        <v>41</v>
      </c>
      <c r="B61" s="64"/>
      <c r="C61" s="108"/>
      <c r="D61" s="58"/>
      <c r="E61" s="60"/>
      <c r="F61" s="59"/>
      <c r="G61" s="59"/>
      <c r="H61" s="59"/>
      <c r="I61" s="59"/>
      <c r="J61" s="68"/>
      <c r="K61" s="99"/>
      <c r="L61" s="59"/>
      <c r="M61" s="99"/>
      <c r="N61" s="72"/>
    </row>
    <row r="62" spans="1:14" ht="15.75" hidden="1" customHeight="1">
      <c r="A62" s="63">
        <v>42</v>
      </c>
      <c r="B62" s="64"/>
      <c r="C62" s="108"/>
      <c r="D62" s="58"/>
      <c r="E62" s="59"/>
      <c r="F62" s="59"/>
      <c r="G62" s="59"/>
      <c r="H62" s="59"/>
      <c r="I62" s="59"/>
      <c r="J62" s="68"/>
      <c r="K62" s="99"/>
      <c r="L62" s="59"/>
      <c r="M62" s="99"/>
      <c r="N62" s="72"/>
    </row>
    <row r="63" spans="1:14" ht="15.75" hidden="1" customHeight="1">
      <c r="A63" s="63">
        <v>43</v>
      </c>
      <c r="B63" s="64"/>
      <c r="C63" s="109"/>
      <c r="D63" s="73"/>
      <c r="E63" s="59"/>
      <c r="F63" s="74"/>
      <c r="G63" s="74"/>
      <c r="H63" s="74"/>
      <c r="I63" s="74"/>
      <c r="J63" s="75"/>
      <c r="K63" s="116"/>
      <c r="L63" s="74"/>
      <c r="M63" s="116"/>
      <c r="N63" s="76"/>
    </row>
    <row r="64" spans="1:14" ht="15.75" hidden="1" customHeight="1">
      <c r="A64" s="63">
        <v>44</v>
      </c>
      <c r="B64" s="64"/>
      <c r="C64" s="108"/>
      <c r="D64" s="58"/>
      <c r="E64" s="59"/>
      <c r="F64" s="59"/>
      <c r="G64" s="59"/>
      <c r="H64" s="59"/>
      <c r="I64" s="59"/>
      <c r="J64" s="68"/>
      <c r="K64" s="99"/>
      <c r="L64" s="59"/>
      <c r="M64" s="99"/>
      <c r="N64" s="72"/>
    </row>
    <row r="65" spans="1:14" ht="15.75" hidden="1" customHeight="1">
      <c r="A65" s="63">
        <v>45</v>
      </c>
      <c r="B65" s="64"/>
      <c r="C65" s="108"/>
      <c r="D65" s="58"/>
      <c r="E65" s="59"/>
      <c r="F65" s="59"/>
      <c r="G65" s="59"/>
      <c r="H65" s="59"/>
      <c r="I65" s="59"/>
      <c r="J65" s="68"/>
      <c r="K65" s="99"/>
      <c r="L65" s="59"/>
      <c r="M65" s="99"/>
      <c r="N65" s="72"/>
    </row>
    <row r="66" spans="1:14" ht="15.75" hidden="1" customHeight="1">
      <c r="A66" s="63">
        <v>46</v>
      </c>
      <c r="B66" s="64"/>
      <c r="C66" s="108"/>
      <c r="D66" s="58"/>
      <c r="E66" s="60"/>
      <c r="F66" s="59"/>
      <c r="G66" s="59"/>
      <c r="H66" s="59"/>
      <c r="I66" s="59"/>
      <c r="J66" s="77"/>
      <c r="K66" s="117"/>
      <c r="L66" s="59"/>
      <c r="M66" s="117"/>
      <c r="N66" s="72"/>
    </row>
    <row r="67" spans="1:14" ht="15.75" hidden="1" customHeight="1">
      <c r="A67" s="63">
        <v>47</v>
      </c>
      <c r="B67" s="64"/>
      <c r="C67" s="108"/>
      <c r="D67" s="58"/>
      <c r="E67" s="59"/>
      <c r="F67" s="59"/>
      <c r="G67" s="59"/>
      <c r="H67" s="59"/>
      <c r="I67" s="59"/>
      <c r="J67" s="68"/>
      <c r="K67" s="99"/>
      <c r="L67" s="59"/>
      <c r="M67" s="99"/>
      <c r="N67" s="72"/>
    </row>
    <row r="68" spans="1:14" ht="15.75" hidden="1" customHeight="1">
      <c r="A68" s="63">
        <v>48</v>
      </c>
      <c r="B68" s="64"/>
      <c r="C68" s="108"/>
      <c r="D68" s="58"/>
      <c r="E68" s="59"/>
      <c r="F68" s="59"/>
      <c r="G68" s="59"/>
      <c r="H68" s="59"/>
      <c r="I68" s="59"/>
      <c r="J68" s="68"/>
      <c r="K68" s="99"/>
      <c r="L68" s="59"/>
      <c r="M68" s="99"/>
      <c r="N68" s="72"/>
    </row>
    <row r="69" spans="1:14" ht="15.75" hidden="1" customHeight="1">
      <c r="A69" s="63">
        <v>49</v>
      </c>
      <c r="B69" s="64"/>
      <c r="C69" s="108"/>
      <c r="D69" s="58"/>
      <c r="E69" s="59"/>
      <c r="F69" s="59"/>
      <c r="G69" s="59"/>
      <c r="H69" s="59"/>
      <c r="I69" s="59"/>
      <c r="J69" s="68"/>
      <c r="K69" s="99"/>
      <c r="L69" s="59"/>
      <c r="M69" s="99"/>
      <c r="N69" s="72"/>
    </row>
    <row r="70" spans="1:14" ht="15.75" hidden="1" customHeight="1">
      <c r="A70" s="63">
        <v>50</v>
      </c>
      <c r="B70" s="64"/>
      <c r="C70" s="108"/>
      <c r="D70" s="58"/>
      <c r="E70" s="59"/>
      <c r="F70" s="59"/>
      <c r="G70" s="59"/>
      <c r="H70" s="59"/>
      <c r="I70" s="59"/>
      <c r="J70" s="68"/>
      <c r="K70" s="99"/>
      <c r="L70" s="59"/>
      <c r="M70" s="99"/>
      <c r="N70" s="72"/>
    </row>
    <row r="71" spans="1:14" ht="15.75" hidden="1" customHeight="1">
      <c r="A71" s="63">
        <v>51</v>
      </c>
      <c r="B71" s="64"/>
      <c r="C71" s="108"/>
      <c r="D71" s="58"/>
      <c r="E71" s="60"/>
      <c r="F71" s="59"/>
      <c r="G71" s="59"/>
      <c r="H71" s="59"/>
      <c r="I71" s="59"/>
      <c r="J71" s="68"/>
      <c r="K71" s="99"/>
      <c r="L71" s="59"/>
      <c r="M71" s="99"/>
      <c r="N71" s="72"/>
    </row>
    <row r="72" spans="1:14" ht="15.75" hidden="1" customHeight="1">
      <c r="A72" s="63">
        <v>52</v>
      </c>
      <c r="B72" s="64"/>
      <c r="C72" s="108"/>
      <c r="D72" s="58"/>
      <c r="E72" s="59"/>
      <c r="F72" s="59"/>
      <c r="G72" s="59"/>
      <c r="H72" s="59"/>
      <c r="I72" s="59"/>
      <c r="J72" s="68"/>
      <c r="K72" s="99"/>
      <c r="L72" s="59"/>
      <c r="M72" s="99"/>
      <c r="N72" s="72"/>
    </row>
    <row r="73" spans="1:14" ht="15.75" hidden="1" customHeight="1">
      <c r="A73" s="63">
        <v>53</v>
      </c>
      <c r="B73" s="64"/>
      <c r="C73" s="108"/>
      <c r="D73" s="58"/>
      <c r="E73" s="59"/>
      <c r="F73" s="59"/>
      <c r="G73" s="59"/>
      <c r="H73" s="59"/>
      <c r="I73" s="59"/>
      <c r="J73" s="68"/>
      <c r="K73" s="99"/>
      <c r="L73" s="59"/>
      <c r="M73" s="99"/>
      <c r="N73" s="72"/>
    </row>
    <row r="74" spans="1:14" ht="15.75" hidden="1" customHeight="1">
      <c r="A74" s="63">
        <v>54</v>
      </c>
      <c r="B74" s="64"/>
      <c r="C74" s="108"/>
      <c r="D74" s="58"/>
      <c r="E74" s="59"/>
      <c r="F74" s="59"/>
      <c r="G74" s="59"/>
      <c r="H74" s="59"/>
      <c r="I74" s="59"/>
      <c r="J74" s="68"/>
      <c r="K74" s="99"/>
      <c r="L74" s="59"/>
      <c r="M74" s="99"/>
      <c r="N74" s="72"/>
    </row>
    <row r="75" spans="1:14" ht="15.75" hidden="1" customHeight="1">
      <c r="A75" s="63">
        <v>55</v>
      </c>
      <c r="B75" s="64"/>
      <c r="C75" s="110"/>
      <c r="D75" s="78"/>
      <c r="E75" s="59"/>
      <c r="F75" s="79"/>
      <c r="G75" s="79"/>
      <c r="H75" s="79"/>
      <c r="I75" s="79"/>
      <c r="J75" s="68"/>
      <c r="K75" s="99"/>
      <c r="L75" s="79"/>
      <c r="M75" s="99"/>
      <c r="N75" s="80"/>
    </row>
    <row r="76" spans="1:14" ht="15.75" hidden="1" customHeight="1">
      <c r="A76" s="63">
        <v>56</v>
      </c>
      <c r="B76" s="64"/>
      <c r="C76" s="110"/>
      <c r="D76" s="78"/>
      <c r="E76" s="79"/>
      <c r="F76" s="79"/>
      <c r="G76" s="79"/>
      <c r="H76" s="79"/>
      <c r="I76" s="79"/>
      <c r="J76" s="68"/>
      <c r="K76" s="99"/>
      <c r="L76" s="79"/>
      <c r="M76" s="99"/>
      <c r="N76" s="80"/>
    </row>
    <row r="77" spans="1:14" ht="15.75" hidden="1" customHeight="1">
      <c r="A77" s="63">
        <v>57</v>
      </c>
      <c r="B77" s="64"/>
      <c r="C77" s="110"/>
      <c r="D77" s="78"/>
      <c r="E77" s="79"/>
      <c r="F77" s="79"/>
      <c r="G77" s="79"/>
      <c r="H77" s="79"/>
      <c r="I77" s="79"/>
      <c r="J77" s="68"/>
      <c r="K77" s="99"/>
      <c r="L77" s="79"/>
      <c r="M77" s="99"/>
      <c r="N77" s="80"/>
    </row>
    <row r="78" spans="1:14" ht="15.75" hidden="1" customHeight="1">
      <c r="A78" s="63">
        <v>58</v>
      </c>
      <c r="B78" s="64"/>
      <c r="C78" s="110"/>
      <c r="D78" s="78"/>
      <c r="E78" s="79"/>
      <c r="F78" s="79"/>
      <c r="G78" s="79"/>
      <c r="H78" s="79"/>
      <c r="I78" s="79"/>
      <c r="J78" s="68"/>
      <c r="K78" s="99"/>
      <c r="L78" s="79"/>
      <c r="M78" s="99"/>
      <c r="N78" s="80"/>
    </row>
    <row r="79" spans="1:14" ht="15.75" hidden="1" customHeight="1">
      <c r="A79" s="63">
        <v>59</v>
      </c>
      <c r="B79" s="64"/>
      <c r="C79" s="110"/>
      <c r="D79" s="78"/>
      <c r="E79" s="79"/>
      <c r="F79" s="79"/>
      <c r="G79" s="79"/>
      <c r="H79" s="79"/>
      <c r="I79" s="79"/>
      <c r="J79" s="68"/>
      <c r="K79" s="99"/>
      <c r="L79" s="79"/>
      <c r="M79" s="99"/>
      <c r="N79" s="80"/>
    </row>
  </sheetData>
  <conditionalFormatting sqref="L2:L49">
    <cfRule type="cellIs" dxfId="51" priority="1" operator="equal">
      <formula>"In Process"</formula>
    </cfRule>
    <cfRule type="cellIs" dxfId="50" priority="2" operator="equal">
      <formula>"Not Received"</formula>
    </cfRule>
    <cfRule type="cellIs" dxfId="49" priority="3" operator="equal">
      <formula>"Paid By Client"</formula>
    </cfRule>
    <cfRule type="cellIs" dxfId="48" priority="4" operator="equal">
      <formula>"Payment Received"</formula>
    </cfRule>
  </conditionalFormatting>
  <dataValidations count="1">
    <dataValidation type="list" allowBlank="1" showInputMessage="1" showErrorMessage="1" sqref="D2:D46" xr:uid="{00000000-0002-0000-0700-000000000000}">
      <formula1>client</formula1>
    </dataValidation>
  </dataValidations>
  <hyperlinks>
    <hyperlink ref="H2" r:id="rId1" xr:uid="{00000000-0004-0000-0700-000000000000}"/>
    <hyperlink ref="M2" r:id="rId2" xr:uid="{00000000-0004-0000-0700-000001000000}"/>
    <hyperlink ref="H3" r:id="rId3" xr:uid="{00000000-0004-0000-0700-000002000000}"/>
    <hyperlink ref="F4" r:id="rId4" display="https://1drv.ms/u/s!Aj8Kg3zL_hoFrDS1Zk-poSipBNpB?e=M5V5gC" xr:uid="{00000000-0004-0000-0700-000003000000}"/>
    <hyperlink ref="F3" r:id="rId5" display="https://1drv.ms/u/s!Aj8Kg3zL_hoFrDOeNbDIB9c6aPFo?e=drehZP" xr:uid="{00000000-0004-0000-0700-000004000000}"/>
    <hyperlink ref="M5" r:id="rId6" xr:uid="{00000000-0004-0000-0700-000005000000}"/>
    <hyperlink ref="H6" r:id="rId7" xr:uid="{00000000-0004-0000-0700-000006000000}"/>
    <hyperlink ref="G4" r:id="rId8" xr:uid="{00000000-0004-0000-0700-000007000000}"/>
    <hyperlink ref="G3" r:id="rId9" xr:uid="{00000000-0004-0000-0700-000008000000}"/>
    <hyperlink ref="F5" r:id="rId10" display="392983379344" xr:uid="{00000000-0004-0000-0700-000009000000}"/>
    <hyperlink ref="M3" r:id="rId11" xr:uid="{00000000-0004-0000-0700-00000A000000}"/>
    <hyperlink ref="M6" r:id="rId12" xr:uid="{00000000-0004-0000-0700-00000B000000}"/>
  </hyperlinks>
  <pageMargins left="0.7" right="0.7" top="0.75" bottom="0.75" header="0" footer="0"/>
  <pageSetup scale="84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72"/>
  <sheetViews>
    <sheetView topLeftCell="F1" workbookViewId="0">
      <pane ySplit="1" topLeftCell="A2" activePane="bottomLeft" state="frozen"/>
      <selection pane="bottomLeft" activeCell="A5" sqref="A5"/>
      <selection activeCell="A5" sqref="A5"/>
    </sheetView>
  </sheetViews>
  <sheetFormatPr defaultColWidth="14.42578125" defaultRowHeight="15" customHeight="1"/>
  <cols>
    <col min="1" max="1" width="8.7109375" customWidth="1"/>
    <col min="2" max="2" width="19" customWidth="1"/>
    <col min="3" max="3" width="19.7109375" customWidth="1"/>
    <col min="4" max="4" width="28.140625" customWidth="1"/>
    <col min="5" max="5" width="67.7109375" bestFit="1" customWidth="1"/>
    <col min="6" max="6" width="24.7109375" customWidth="1"/>
    <col min="7" max="7" width="23" customWidth="1"/>
    <col min="8" max="8" width="26.140625" bestFit="1" customWidth="1"/>
    <col min="9" max="9" width="17.28515625" customWidth="1"/>
    <col min="10" max="10" width="20.85546875" customWidth="1"/>
    <col min="11" max="12" width="22.7109375" customWidth="1"/>
    <col min="13" max="13" width="21.42578125" customWidth="1"/>
    <col min="14" max="14" width="22.7109375" customWidth="1"/>
    <col min="15" max="15" width="121" bestFit="1" customWidth="1"/>
  </cols>
  <sheetData>
    <row r="1" spans="1:28" ht="33" customHeight="1">
      <c r="A1" s="146" t="s">
        <v>15</v>
      </c>
      <c r="B1" s="149" t="s">
        <v>219</v>
      </c>
      <c r="C1" s="149" t="s">
        <v>220</v>
      </c>
      <c r="D1" s="147" t="s">
        <v>221</v>
      </c>
      <c r="E1" s="147" t="s">
        <v>222</v>
      </c>
      <c r="F1" s="147" t="s">
        <v>223</v>
      </c>
      <c r="G1" s="147" t="s">
        <v>224</v>
      </c>
      <c r="H1" s="147" t="s">
        <v>225</v>
      </c>
      <c r="I1" s="147" t="s">
        <v>226</v>
      </c>
      <c r="J1" s="149" t="s">
        <v>330</v>
      </c>
      <c r="K1" s="146" t="s">
        <v>227</v>
      </c>
      <c r="L1" s="148" t="s">
        <v>228</v>
      </c>
      <c r="M1" s="149" t="s">
        <v>229</v>
      </c>
      <c r="N1" s="148" t="s">
        <v>230</v>
      </c>
      <c r="O1" s="146" t="s">
        <v>18</v>
      </c>
    </row>
    <row r="2" spans="1:28" ht="15.75">
      <c r="A2" s="5">
        <v>1</v>
      </c>
      <c r="B2" s="128"/>
      <c r="C2" s="207"/>
      <c r="D2" s="130" t="s">
        <v>234</v>
      </c>
      <c r="E2" s="131"/>
      <c r="F2" s="155" t="s">
        <v>313</v>
      </c>
      <c r="G2" s="133" t="s">
        <v>299</v>
      </c>
      <c r="H2" s="154" t="s">
        <v>257</v>
      </c>
      <c r="I2" s="133" t="s">
        <v>265</v>
      </c>
      <c r="J2" s="237">
        <v>84.69</v>
      </c>
      <c r="K2" s="121">
        <v>0</v>
      </c>
      <c r="L2" s="150">
        <v>0</v>
      </c>
      <c r="M2" s="234"/>
      <c r="N2" s="208"/>
      <c r="O2" s="238" t="s">
        <v>331</v>
      </c>
      <c r="AB2" s="130" t="s">
        <v>234</v>
      </c>
    </row>
    <row r="3" spans="1:28" ht="15.75">
      <c r="A3" s="9">
        <v>9</v>
      </c>
      <c r="B3" s="136">
        <v>44960</v>
      </c>
      <c r="C3" s="139"/>
      <c r="D3" s="130" t="s">
        <v>321</v>
      </c>
      <c r="E3" s="131" t="s">
        <v>332</v>
      </c>
      <c r="F3" s="156">
        <v>394050374224</v>
      </c>
      <c r="G3" s="210" t="s">
        <v>233</v>
      </c>
      <c r="H3" s="133" t="s">
        <v>323</v>
      </c>
      <c r="I3" s="133" t="s">
        <v>265</v>
      </c>
      <c r="J3" s="133"/>
      <c r="K3" s="224" t="s">
        <v>333</v>
      </c>
      <c r="L3" s="150"/>
      <c r="M3" s="137" t="s">
        <v>3</v>
      </c>
      <c r="N3" s="69"/>
      <c r="O3" s="238" t="s">
        <v>334</v>
      </c>
    </row>
    <row r="4" spans="1:28" ht="15.75">
      <c r="A4" s="9">
        <v>10</v>
      </c>
      <c r="B4" s="128">
        <v>44961</v>
      </c>
      <c r="C4" s="139"/>
      <c r="D4" s="130" t="s">
        <v>321</v>
      </c>
      <c r="E4" s="131" t="s">
        <v>335</v>
      </c>
      <c r="F4" s="156">
        <v>319455470</v>
      </c>
      <c r="G4" s="210" t="s">
        <v>336</v>
      </c>
      <c r="H4" s="133" t="s">
        <v>323</v>
      </c>
      <c r="I4" s="133" t="s">
        <v>265</v>
      </c>
      <c r="J4" s="133"/>
      <c r="K4" s="224" t="s">
        <v>337</v>
      </c>
      <c r="L4" s="150">
        <v>20.77</v>
      </c>
      <c r="M4" s="137" t="s">
        <v>183</v>
      </c>
      <c r="N4" s="69"/>
      <c r="O4" s="238" t="s">
        <v>338</v>
      </c>
    </row>
    <row r="5" spans="1:28" ht="15.75">
      <c r="A5" s="9">
        <v>11</v>
      </c>
      <c r="B5" s="128">
        <v>44998</v>
      </c>
      <c r="C5" s="129"/>
      <c r="D5" s="130" t="s">
        <v>339</v>
      </c>
      <c r="E5" s="131" t="s">
        <v>340</v>
      </c>
      <c r="F5" s="197">
        <v>394099455196</v>
      </c>
      <c r="G5" s="132" t="s">
        <v>233</v>
      </c>
      <c r="H5" s="133"/>
      <c r="I5" s="133"/>
      <c r="J5" s="133"/>
      <c r="K5" s="124">
        <f>200+41538</f>
        <v>41738</v>
      </c>
      <c r="L5" s="150"/>
      <c r="M5" s="137" t="s">
        <v>3</v>
      </c>
      <c r="N5" s="69"/>
      <c r="O5" s="240" t="s">
        <v>341</v>
      </c>
    </row>
    <row r="6" spans="1:28" ht="15.75">
      <c r="A6" s="195">
        <v>12</v>
      </c>
      <c r="B6" s="128">
        <v>44980</v>
      </c>
      <c r="C6" s="129"/>
      <c r="D6" s="130" t="s">
        <v>342</v>
      </c>
      <c r="E6" s="131" t="s">
        <v>343</v>
      </c>
      <c r="F6" s="197" t="s">
        <v>344</v>
      </c>
      <c r="G6" s="198" t="s">
        <v>345</v>
      </c>
      <c r="H6" s="133"/>
      <c r="I6" s="133"/>
      <c r="J6" s="133"/>
      <c r="K6" s="224" t="s">
        <v>346</v>
      </c>
      <c r="L6" s="150"/>
      <c r="M6" s="198" t="s">
        <v>183</v>
      </c>
      <c r="N6" s="200" t="s">
        <v>347</v>
      </c>
      <c r="O6" s="239" t="s">
        <v>348</v>
      </c>
    </row>
    <row r="7" spans="1:28" ht="15.75">
      <c r="A7" s="9">
        <v>13</v>
      </c>
      <c r="B7" s="136">
        <v>44968</v>
      </c>
      <c r="C7" s="139"/>
      <c r="D7" s="130" t="s">
        <v>321</v>
      </c>
      <c r="E7" s="131" t="s">
        <v>349</v>
      </c>
      <c r="F7" s="157">
        <v>3388188366</v>
      </c>
      <c r="G7" s="154" t="s">
        <v>261</v>
      </c>
      <c r="H7" s="133" t="s">
        <v>323</v>
      </c>
      <c r="I7" s="137" t="s">
        <v>265</v>
      </c>
      <c r="J7" s="137"/>
      <c r="K7" s="224" t="s">
        <v>350</v>
      </c>
      <c r="L7" s="150">
        <v>134.07</v>
      </c>
      <c r="M7" s="137" t="s">
        <v>3</v>
      </c>
      <c r="N7" s="208"/>
      <c r="O7" s="239" t="s">
        <v>351</v>
      </c>
    </row>
    <row r="8" spans="1:28" ht="15.75">
      <c r="A8" s="9">
        <v>14</v>
      </c>
      <c r="B8" s="136">
        <v>44970</v>
      </c>
      <c r="C8" s="139"/>
      <c r="D8" s="130" t="s">
        <v>352</v>
      </c>
      <c r="E8" s="131" t="s">
        <v>353</v>
      </c>
      <c r="F8" s="157" t="s">
        <v>354</v>
      </c>
      <c r="G8" s="137" t="s">
        <v>345</v>
      </c>
      <c r="H8" s="154"/>
      <c r="I8" s="137"/>
      <c r="J8" s="137"/>
      <c r="K8" s="224">
        <v>0</v>
      </c>
      <c r="L8" s="150"/>
      <c r="M8" s="137" t="s">
        <v>183</v>
      </c>
      <c r="N8" s="208"/>
      <c r="O8" s="239" t="s">
        <v>355</v>
      </c>
    </row>
    <row r="9" spans="1:28" ht="15.75">
      <c r="A9" s="9">
        <v>15</v>
      </c>
      <c r="B9" s="136">
        <v>44971</v>
      </c>
      <c r="C9" s="139"/>
      <c r="D9" s="130" t="s">
        <v>321</v>
      </c>
      <c r="E9" s="131" t="s">
        <v>356</v>
      </c>
      <c r="F9" s="157"/>
      <c r="G9" s="210" t="s">
        <v>357</v>
      </c>
      <c r="H9" s="154"/>
      <c r="I9" s="137"/>
      <c r="J9" s="137"/>
      <c r="K9" s="224" t="s">
        <v>358</v>
      </c>
      <c r="L9" s="150">
        <v>5.42</v>
      </c>
      <c r="M9" s="137" t="s">
        <v>3</v>
      </c>
      <c r="N9" s="161"/>
      <c r="O9" s="239" t="s">
        <v>359</v>
      </c>
    </row>
    <row r="10" spans="1:28" ht="15.75">
      <c r="A10" s="9">
        <v>16</v>
      </c>
      <c r="B10" s="136">
        <v>44981</v>
      </c>
      <c r="C10" s="139"/>
      <c r="D10" s="130" t="s">
        <v>321</v>
      </c>
      <c r="E10" s="131" t="s">
        <v>360</v>
      </c>
      <c r="F10" s="157" t="s">
        <v>361</v>
      </c>
      <c r="G10" s="137" t="s">
        <v>248</v>
      </c>
      <c r="H10" s="154" t="s">
        <v>323</v>
      </c>
      <c r="I10" s="137"/>
      <c r="J10" s="137"/>
      <c r="K10" s="224">
        <v>0</v>
      </c>
      <c r="L10" s="150">
        <v>137.15</v>
      </c>
      <c r="M10" s="137" t="s">
        <v>3</v>
      </c>
      <c r="N10" s="208"/>
      <c r="O10" s="239" t="s">
        <v>359</v>
      </c>
    </row>
    <row r="11" spans="1:28" ht="15.75">
      <c r="A11" s="9">
        <v>17</v>
      </c>
      <c r="B11" s="136"/>
      <c r="C11" s="139">
        <v>44979</v>
      </c>
      <c r="D11" s="130" t="s">
        <v>234</v>
      </c>
      <c r="E11" s="131" t="s">
        <v>362</v>
      </c>
      <c r="F11" s="157" t="s">
        <v>295</v>
      </c>
      <c r="G11" s="137"/>
      <c r="H11" s="154"/>
      <c r="I11" s="137"/>
      <c r="J11" s="137"/>
      <c r="K11" s="224" t="s">
        <v>363</v>
      </c>
      <c r="L11" s="150"/>
      <c r="M11" s="137" t="s">
        <v>183</v>
      </c>
      <c r="N11" s="208" t="s">
        <v>364</v>
      </c>
      <c r="O11" s="239" t="s">
        <v>365</v>
      </c>
    </row>
    <row r="12" spans="1:28" ht="15.75">
      <c r="A12" s="9">
        <v>18</v>
      </c>
      <c r="B12" s="136">
        <v>44984</v>
      </c>
      <c r="C12" s="139"/>
      <c r="D12" s="130" t="s">
        <v>234</v>
      </c>
      <c r="E12" s="131" t="s">
        <v>366</v>
      </c>
      <c r="F12" s="157" t="s">
        <v>367</v>
      </c>
      <c r="G12" s="137" t="s">
        <v>248</v>
      </c>
      <c r="H12" s="154"/>
      <c r="I12" s="137"/>
      <c r="J12" s="137"/>
      <c r="K12" s="224" t="s">
        <v>368</v>
      </c>
      <c r="L12" s="151"/>
      <c r="M12" s="137" t="s">
        <v>183</v>
      </c>
      <c r="N12" s="208" t="s">
        <v>364</v>
      </c>
      <c r="O12" s="254" t="s">
        <v>369</v>
      </c>
    </row>
    <row r="13" spans="1:28" ht="15.75">
      <c r="A13" s="9">
        <v>19</v>
      </c>
      <c r="B13" s="136">
        <v>44981</v>
      </c>
      <c r="C13" s="139"/>
      <c r="D13" s="130" t="s">
        <v>370</v>
      </c>
      <c r="E13" s="142" t="s">
        <v>371</v>
      </c>
      <c r="F13" s="157">
        <v>394854827951</v>
      </c>
      <c r="G13" s="137" t="s">
        <v>233</v>
      </c>
      <c r="H13" s="154"/>
      <c r="I13" s="137"/>
      <c r="J13" s="137"/>
      <c r="K13" s="224" t="s">
        <v>372</v>
      </c>
      <c r="L13" s="151"/>
      <c r="M13" s="137" t="s">
        <v>3</v>
      </c>
      <c r="N13" s="208"/>
      <c r="O13" s="239" t="s">
        <v>373</v>
      </c>
    </row>
    <row r="14" spans="1:28" ht="15.75">
      <c r="A14" s="9">
        <v>20</v>
      </c>
      <c r="B14" s="136"/>
      <c r="C14" s="139"/>
      <c r="D14" s="130"/>
      <c r="E14" s="142"/>
      <c r="F14" s="157"/>
      <c r="G14" s="137"/>
      <c r="H14" s="210"/>
      <c r="I14" s="137"/>
      <c r="J14" s="137"/>
      <c r="K14" s="124"/>
      <c r="L14" s="151"/>
      <c r="M14" s="137"/>
      <c r="N14" s="211"/>
      <c r="O14" s="138"/>
    </row>
    <row r="15" spans="1:28" ht="15.75">
      <c r="A15" s="9">
        <v>21</v>
      </c>
      <c r="B15" s="136"/>
      <c r="C15" s="139"/>
      <c r="D15" s="130"/>
      <c r="E15" s="142"/>
      <c r="F15" s="157"/>
      <c r="G15" s="137"/>
      <c r="H15" s="137"/>
      <c r="I15" s="137"/>
      <c r="J15" s="137"/>
      <c r="K15" s="224"/>
      <c r="L15" s="151"/>
      <c r="M15" s="137"/>
      <c r="N15" s="211"/>
      <c r="O15" s="138"/>
    </row>
    <row r="16" spans="1:28" ht="15.75">
      <c r="A16" s="9">
        <v>22</v>
      </c>
      <c r="B16" s="136"/>
      <c r="C16" s="139"/>
      <c r="D16" s="130"/>
      <c r="E16" s="142"/>
      <c r="F16" s="157"/>
      <c r="G16" s="137"/>
      <c r="H16" s="137"/>
      <c r="I16" s="137"/>
      <c r="J16" s="137"/>
      <c r="K16" s="124"/>
      <c r="L16" s="151"/>
      <c r="M16" s="137"/>
      <c r="N16" s="120"/>
      <c r="O16" s="138"/>
    </row>
    <row r="17" spans="1:15" ht="15.75">
      <c r="A17" s="9">
        <v>23</v>
      </c>
      <c r="B17" s="136"/>
      <c r="C17" s="139"/>
      <c r="D17" s="130"/>
      <c r="E17" s="142"/>
      <c r="F17" s="157"/>
      <c r="G17" s="137"/>
      <c r="H17" s="137"/>
      <c r="I17" s="137"/>
      <c r="J17" s="137"/>
      <c r="K17" s="124"/>
      <c r="L17" s="151"/>
      <c r="M17" s="137"/>
      <c r="N17" s="120"/>
      <c r="O17" s="138"/>
    </row>
    <row r="18" spans="1:15" ht="15.75">
      <c r="A18" s="9">
        <v>24</v>
      </c>
      <c r="B18" s="136"/>
      <c r="C18" s="139"/>
      <c r="D18" s="130"/>
      <c r="E18" s="141"/>
      <c r="F18" s="157"/>
      <c r="G18" s="137"/>
      <c r="H18" s="137"/>
      <c r="I18" s="137"/>
      <c r="J18" s="137"/>
      <c r="K18" s="124"/>
      <c r="L18" s="151"/>
      <c r="M18" s="137"/>
      <c r="N18" s="120"/>
      <c r="O18" s="143"/>
    </row>
    <row r="19" spans="1:15" ht="15.75" customHeight="1">
      <c r="A19" s="9">
        <v>25</v>
      </c>
      <c r="B19" s="136"/>
      <c r="C19" s="139"/>
      <c r="D19" s="130"/>
      <c r="E19" s="131"/>
      <c r="F19" s="157"/>
      <c r="G19" s="137"/>
      <c r="H19" s="137"/>
      <c r="I19" s="137"/>
      <c r="J19" s="137"/>
      <c r="K19" s="124"/>
      <c r="L19" s="151"/>
      <c r="M19" s="137"/>
      <c r="N19" s="120"/>
      <c r="O19" s="140"/>
    </row>
    <row r="20" spans="1:15" ht="15.75" customHeight="1">
      <c r="A20" s="9"/>
      <c r="B20" s="136"/>
      <c r="C20" s="139"/>
      <c r="D20" s="130"/>
      <c r="E20" s="131"/>
      <c r="F20" s="157"/>
      <c r="G20" s="137"/>
      <c r="H20" s="137"/>
      <c r="I20" s="137"/>
      <c r="J20" s="137"/>
      <c r="K20" s="124"/>
      <c r="L20" s="151"/>
      <c r="M20" s="137"/>
      <c r="N20" s="120"/>
      <c r="O20" s="140"/>
    </row>
    <row r="21" spans="1:15" ht="15.75" customHeight="1">
      <c r="A21" s="9"/>
      <c r="B21" s="136"/>
      <c r="C21" s="139"/>
      <c r="D21" s="130"/>
      <c r="E21" s="131"/>
      <c r="F21" s="157"/>
      <c r="G21" s="137"/>
      <c r="H21" s="137"/>
      <c r="I21" s="137"/>
      <c r="J21" s="137"/>
      <c r="K21" s="126"/>
      <c r="L21" s="151"/>
      <c r="M21" s="137"/>
      <c r="N21" s="120"/>
      <c r="O21" s="143"/>
    </row>
    <row r="22" spans="1:15" ht="15.75" customHeight="1">
      <c r="A22" s="9"/>
      <c r="B22" s="136"/>
      <c r="C22" s="139"/>
      <c r="D22" s="130"/>
      <c r="E22" s="131"/>
      <c r="F22" s="157"/>
      <c r="G22" s="137"/>
      <c r="H22" s="137"/>
      <c r="I22" s="137"/>
      <c r="J22" s="137"/>
      <c r="K22" s="127"/>
      <c r="L22" s="151"/>
      <c r="M22" s="137"/>
      <c r="N22" s="120"/>
      <c r="O22" s="140"/>
    </row>
    <row r="23" spans="1:15" ht="15.75" customHeight="1">
      <c r="A23" s="9"/>
      <c r="B23" s="136"/>
      <c r="C23" s="139"/>
      <c r="D23" s="130"/>
      <c r="E23" s="131"/>
      <c r="F23" s="157"/>
      <c r="G23" s="137"/>
      <c r="H23" s="137"/>
      <c r="I23" s="137"/>
      <c r="J23" s="137"/>
      <c r="K23" s="127"/>
      <c r="L23" s="151"/>
      <c r="M23" s="144"/>
      <c r="N23" s="120"/>
      <c r="O23" s="140"/>
    </row>
    <row r="24" spans="1:15" ht="15.75" customHeight="1">
      <c r="A24" s="9"/>
      <c r="B24" s="136"/>
      <c r="C24" s="139"/>
      <c r="D24" s="130"/>
      <c r="E24" s="142"/>
      <c r="F24" s="157"/>
      <c r="G24" s="137"/>
      <c r="H24" s="137"/>
      <c r="I24" s="137"/>
      <c r="J24" s="137"/>
      <c r="K24" s="127"/>
      <c r="L24" s="151"/>
      <c r="M24" s="144"/>
      <c r="N24" s="120"/>
      <c r="O24" s="140"/>
    </row>
    <row r="25" spans="1:15" ht="15.75" customHeight="1">
      <c r="A25" s="9"/>
      <c r="B25" s="136"/>
      <c r="C25" s="139"/>
      <c r="D25" s="130"/>
      <c r="E25" s="142"/>
      <c r="F25" s="157"/>
      <c r="G25" s="137"/>
      <c r="H25" s="137"/>
      <c r="I25" s="137"/>
      <c r="J25" s="137"/>
      <c r="K25" s="127"/>
      <c r="L25" s="151"/>
      <c r="M25" s="144"/>
      <c r="N25" s="120"/>
      <c r="O25" s="140"/>
    </row>
    <row r="26" spans="1:15" ht="15.75" customHeight="1">
      <c r="A26" s="9"/>
      <c r="B26" s="136"/>
      <c r="C26" s="139"/>
      <c r="D26" s="130"/>
      <c r="E26" s="142"/>
      <c r="F26" s="157"/>
      <c r="G26" s="137"/>
      <c r="H26" s="137"/>
      <c r="I26" s="137"/>
      <c r="J26" s="137"/>
      <c r="K26" s="127"/>
      <c r="L26" s="151"/>
      <c r="M26" s="144"/>
      <c r="N26" s="120"/>
      <c r="O26" s="140"/>
    </row>
    <row r="27" spans="1:15" ht="15.75" customHeight="1">
      <c r="A27" s="9"/>
      <c r="B27" s="136"/>
      <c r="C27" s="139"/>
      <c r="D27" s="130"/>
      <c r="E27" s="141"/>
      <c r="F27" s="158"/>
      <c r="G27" s="145"/>
      <c r="H27" s="145"/>
      <c r="I27" s="145"/>
      <c r="J27" s="145"/>
      <c r="K27" s="127"/>
      <c r="L27" s="151"/>
      <c r="M27" s="144"/>
      <c r="N27" s="118"/>
      <c r="O27" s="140"/>
    </row>
    <row r="28" spans="1:15" ht="15.75" customHeight="1">
      <c r="A28" s="9"/>
      <c r="B28" s="136"/>
      <c r="C28" s="139"/>
      <c r="D28" s="130"/>
      <c r="E28" s="141"/>
      <c r="F28" s="158"/>
      <c r="G28" s="145"/>
      <c r="H28" s="145"/>
      <c r="I28" s="145"/>
      <c r="J28" s="145"/>
      <c r="K28" s="127"/>
      <c r="L28" s="151"/>
      <c r="M28" s="137"/>
      <c r="N28" s="118"/>
      <c r="O28" s="140"/>
    </row>
    <row r="29" spans="1:15" ht="15.75" customHeight="1">
      <c r="A29" s="63"/>
      <c r="B29" s="83"/>
      <c r="C29" s="84"/>
      <c r="D29" s="58"/>
      <c r="E29" s="82"/>
      <c r="F29" s="159"/>
      <c r="G29" s="59"/>
      <c r="H29" s="59"/>
      <c r="I29" s="59"/>
      <c r="J29" s="59"/>
      <c r="K29" s="68"/>
      <c r="L29" s="152"/>
      <c r="M29" s="59"/>
      <c r="N29" s="118"/>
      <c r="O29" s="69"/>
    </row>
    <row r="30" spans="1:15" ht="15.75" customHeight="1">
      <c r="A30" s="63"/>
      <c r="B30" s="83"/>
      <c r="C30" s="84"/>
      <c r="D30" s="58"/>
      <c r="E30" s="82"/>
      <c r="F30" s="159"/>
      <c r="G30" s="59"/>
      <c r="H30" s="59"/>
      <c r="I30" s="59"/>
      <c r="J30" s="59"/>
      <c r="K30" s="68"/>
      <c r="L30" s="118"/>
      <c r="M30" s="59"/>
      <c r="N30" s="118"/>
      <c r="O30" s="69"/>
    </row>
    <row r="31" spans="1:15" ht="15.75" customHeight="1">
      <c r="A31" s="63"/>
      <c r="B31" s="83"/>
      <c r="C31" s="84"/>
      <c r="D31" s="58"/>
      <c r="E31" s="86"/>
      <c r="F31" s="159"/>
      <c r="G31" s="59"/>
      <c r="H31" s="59"/>
      <c r="I31" s="59"/>
      <c r="J31" s="59"/>
      <c r="K31" s="68"/>
      <c r="L31" s="118"/>
      <c r="M31" s="59"/>
      <c r="N31" s="118"/>
      <c r="O31" s="69"/>
    </row>
    <row r="32" spans="1:15" ht="15.75" customHeight="1">
      <c r="A32" s="63"/>
      <c r="B32" s="83"/>
      <c r="C32" s="84"/>
      <c r="D32" s="58"/>
      <c r="E32" s="85"/>
      <c r="F32" s="159"/>
      <c r="G32" s="59"/>
      <c r="H32" s="59"/>
      <c r="I32" s="59"/>
      <c r="J32" s="59"/>
      <c r="K32" s="68"/>
      <c r="L32" s="118"/>
      <c r="M32" s="59"/>
      <c r="N32" s="118"/>
      <c r="O32" s="69"/>
    </row>
    <row r="33" spans="1:15" ht="15.75" customHeight="1">
      <c r="A33" s="63"/>
      <c r="B33" s="83"/>
      <c r="C33" s="84"/>
      <c r="D33" s="58"/>
      <c r="E33" s="85"/>
      <c r="F33" s="87"/>
      <c r="G33" s="87"/>
      <c r="H33" s="87"/>
      <c r="I33" s="87"/>
      <c r="J33" s="87"/>
      <c r="K33" s="68"/>
      <c r="L33" s="118"/>
      <c r="M33" s="59"/>
      <c r="N33" s="160"/>
    </row>
    <row r="34" spans="1:15" ht="15.75" customHeight="1">
      <c r="A34" s="63"/>
      <c r="B34" s="83"/>
      <c r="C34" s="84"/>
      <c r="D34" s="58"/>
      <c r="E34" s="82"/>
      <c r="F34" s="59"/>
      <c r="G34" s="59"/>
      <c r="H34" s="59"/>
      <c r="I34" s="59"/>
      <c r="J34" s="59"/>
      <c r="K34" s="68"/>
      <c r="L34" s="118"/>
      <c r="M34" s="59"/>
      <c r="N34" s="118"/>
      <c r="O34" s="62"/>
    </row>
    <row r="35" spans="1:15" ht="15.75" customHeight="1">
      <c r="A35" s="63"/>
      <c r="B35" s="83"/>
      <c r="C35" s="84"/>
      <c r="D35" s="58"/>
      <c r="E35" s="82"/>
      <c r="F35" s="59"/>
      <c r="G35" s="59"/>
      <c r="H35" s="59"/>
      <c r="I35" s="59"/>
      <c r="J35" s="59"/>
      <c r="K35" s="68"/>
      <c r="L35" s="118"/>
      <c r="M35" s="59"/>
      <c r="N35" s="118"/>
      <c r="O35" s="72"/>
    </row>
    <row r="36" spans="1:15" ht="15.75" customHeight="1">
      <c r="A36" s="63"/>
      <c r="B36" s="83"/>
      <c r="C36" s="84"/>
      <c r="D36" s="58"/>
      <c r="E36" s="82"/>
      <c r="F36" s="59"/>
      <c r="G36" s="59"/>
      <c r="H36" s="59"/>
      <c r="I36" s="59"/>
      <c r="J36" s="59"/>
      <c r="K36" s="68"/>
      <c r="L36" s="118"/>
      <c r="M36" s="59"/>
      <c r="N36" s="118"/>
      <c r="O36" s="69"/>
    </row>
    <row r="37" spans="1:15" ht="15.75" customHeight="1">
      <c r="A37" s="63"/>
      <c r="B37" s="83"/>
      <c r="C37" s="84"/>
      <c r="D37" s="58"/>
      <c r="E37" s="85"/>
      <c r="F37" s="59"/>
      <c r="G37" s="59"/>
      <c r="H37" s="59"/>
      <c r="I37" s="59"/>
      <c r="J37" s="59"/>
      <c r="K37" s="68"/>
      <c r="L37" s="118"/>
      <c r="M37" s="59"/>
      <c r="N37" s="118"/>
      <c r="O37" s="69"/>
    </row>
    <row r="38" spans="1:15" ht="15.75" customHeight="1">
      <c r="A38" s="63"/>
      <c r="B38" s="83"/>
      <c r="C38" s="84"/>
      <c r="D38" s="58"/>
      <c r="E38" s="82"/>
      <c r="F38" s="59"/>
      <c r="G38" s="59"/>
      <c r="H38" s="59"/>
      <c r="I38" s="59"/>
      <c r="J38" s="59"/>
      <c r="K38" s="68"/>
      <c r="L38" s="118"/>
      <c r="M38" s="59"/>
      <c r="N38" s="118"/>
      <c r="O38" s="69"/>
    </row>
    <row r="39" spans="1:15" ht="15.75" customHeight="1">
      <c r="A39" s="63"/>
      <c r="B39" s="83"/>
      <c r="C39" s="84"/>
      <c r="D39" s="58"/>
      <c r="E39" s="82"/>
      <c r="F39" s="59"/>
      <c r="G39" s="59"/>
      <c r="H39" s="59"/>
      <c r="I39" s="59"/>
      <c r="J39" s="59"/>
      <c r="K39" s="68"/>
      <c r="L39" s="118"/>
      <c r="M39" s="59"/>
      <c r="N39" s="118"/>
      <c r="O39" s="69"/>
    </row>
    <row r="40" spans="1:15" ht="15.75" customHeight="1">
      <c r="A40" s="63"/>
      <c r="B40" s="83"/>
      <c r="C40" s="84"/>
      <c r="D40" s="58"/>
      <c r="E40" s="82"/>
      <c r="F40" s="59"/>
      <c r="G40" s="59"/>
      <c r="H40" s="59"/>
      <c r="I40" s="59"/>
      <c r="J40" s="59"/>
      <c r="K40" s="68"/>
      <c r="L40" s="118"/>
      <c r="M40" s="59"/>
      <c r="N40" s="118"/>
      <c r="O40" s="69"/>
    </row>
    <row r="41" spans="1:15" ht="15.75" customHeight="1">
      <c r="A41" s="63"/>
      <c r="B41" s="83"/>
      <c r="C41" s="84"/>
      <c r="D41" s="58"/>
      <c r="E41" s="82"/>
      <c r="F41" s="59"/>
      <c r="G41" s="59"/>
      <c r="H41" s="59"/>
      <c r="I41" s="59"/>
      <c r="J41" s="59"/>
      <c r="K41" s="68"/>
      <c r="L41" s="118"/>
      <c r="M41" s="59"/>
      <c r="N41" s="118"/>
      <c r="O41" s="69"/>
    </row>
    <row r="42" spans="1:15" ht="15.75" customHeight="1">
      <c r="A42" s="88"/>
      <c r="B42" s="89"/>
      <c r="C42" s="90"/>
      <c r="D42" s="91"/>
      <c r="E42" s="92"/>
      <c r="F42" s="93"/>
      <c r="G42" s="93"/>
      <c r="H42" s="94"/>
      <c r="I42" s="94"/>
      <c r="J42" s="94"/>
      <c r="K42" s="95"/>
      <c r="L42" s="119"/>
      <c r="M42" s="94"/>
      <c r="N42" s="119"/>
      <c r="O42" s="69"/>
    </row>
    <row r="43" spans="1:15" ht="15.7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8">
        <f>SUM(K2:K42)</f>
        <v>41738</v>
      </c>
      <c r="L43" s="98"/>
      <c r="M43" s="97" t="s">
        <v>123</v>
      </c>
      <c r="N43" s="98"/>
      <c r="O43" s="99"/>
    </row>
    <row r="44" spans="1:15" ht="15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98">
        <f>SUMIF(K2:K42,M44,K2:K42)</f>
        <v>0</v>
      </c>
      <c r="L44" s="98"/>
      <c r="M44" s="101" t="s">
        <v>179</v>
      </c>
      <c r="N44" s="98"/>
      <c r="O44" s="99"/>
    </row>
    <row r="45" spans="1:15" ht="15.75" customHeight="1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98">
        <f>SUMIF(K2:K42,M45,K2:K42)</f>
        <v>0</v>
      </c>
      <c r="L45" s="98"/>
      <c r="M45" s="103" t="s">
        <v>183</v>
      </c>
      <c r="N45" s="98"/>
      <c r="O45" s="99"/>
    </row>
    <row r="46" spans="1:15" ht="15.75" hidden="1" customHeight="1">
      <c r="A46" s="104">
        <v>33</v>
      </c>
      <c r="B46" s="57"/>
      <c r="C46" s="105"/>
      <c r="D46" s="106"/>
      <c r="E46" s="107"/>
      <c r="F46" s="107"/>
      <c r="G46" s="107"/>
      <c r="H46" s="107"/>
      <c r="I46" s="107"/>
      <c r="J46" s="107"/>
      <c r="K46" s="67"/>
      <c r="L46" s="115"/>
      <c r="M46" s="107"/>
      <c r="N46" s="115"/>
      <c r="O46" s="69"/>
    </row>
    <row r="47" spans="1:15" ht="15.75" hidden="1" customHeight="1">
      <c r="A47" s="63">
        <v>34</v>
      </c>
      <c r="B47" s="64"/>
      <c r="C47" s="108"/>
      <c r="D47" s="58"/>
      <c r="E47" s="59"/>
      <c r="F47" s="59"/>
      <c r="G47" s="59"/>
      <c r="H47" s="59"/>
      <c r="I47" s="59"/>
      <c r="J47" s="59"/>
      <c r="K47" s="68"/>
      <c r="L47" s="99"/>
      <c r="M47" s="59"/>
      <c r="N47" s="99"/>
      <c r="O47" s="72"/>
    </row>
    <row r="48" spans="1:15" ht="15.75" hidden="1" customHeight="1">
      <c r="A48" s="63">
        <v>35</v>
      </c>
      <c r="B48" s="64"/>
      <c r="C48" s="108"/>
      <c r="D48" s="58"/>
      <c r="E48" s="59"/>
      <c r="F48" s="59"/>
      <c r="G48" s="59"/>
      <c r="H48" s="59"/>
      <c r="I48" s="59"/>
      <c r="J48" s="59"/>
      <c r="K48" s="68"/>
      <c r="L48" s="99"/>
      <c r="M48" s="59"/>
      <c r="N48" s="99"/>
      <c r="O48" s="72"/>
    </row>
    <row r="49" spans="1:15" ht="15.75" hidden="1" customHeight="1">
      <c r="A49" s="63">
        <v>36</v>
      </c>
      <c r="B49" s="64"/>
      <c r="C49" s="108"/>
      <c r="D49" s="58"/>
      <c r="E49" s="60"/>
      <c r="F49" s="59"/>
      <c r="G49" s="59"/>
      <c r="H49" s="59"/>
      <c r="I49" s="59"/>
      <c r="J49" s="59"/>
      <c r="K49" s="68"/>
      <c r="L49" s="99"/>
      <c r="M49" s="59"/>
      <c r="N49" s="99"/>
      <c r="O49" s="72"/>
    </row>
    <row r="50" spans="1:15" ht="15.75" hidden="1" customHeight="1">
      <c r="A50" s="63">
        <v>37</v>
      </c>
      <c r="B50" s="64"/>
      <c r="C50" s="108"/>
      <c r="D50" s="58"/>
      <c r="E50" s="59"/>
      <c r="F50" s="59"/>
      <c r="G50" s="59"/>
      <c r="H50" s="59"/>
      <c r="I50" s="59"/>
      <c r="J50" s="59"/>
      <c r="K50" s="68"/>
      <c r="L50" s="99"/>
      <c r="M50" s="59"/>
      <c r="N50" s="99"/>
      <c r="O50" s="72"/>
    </row>
    <row r="51" spans="1:15" ht="15.75" hidden="1" customHeight="1">
      <c r="A51" s="63">
        <v>38</v>
      </c>
      <c r="B51" s="64"/>
      <c r="C51" s="108"/>
      <c r="D51" s="58"/>
      <c r="E51" s="59"/>
      <c r="F51" s="59"/>
      <c r="G51" s="59"/>
      <c r="H51" s="59"/>
      <c r="I51" s="59"/>
      <c r="J51" s="59"/>
      <c r="K51" s="68"/>
      <c r="L51" s="99"/>
      <c r="M51" s="59"/>
      <c r="N51" s="99"/>
      <c r="O51" s="72"/>
    </row>
    <row r="52" spans="1:15" ht="15.75" hidden="1" customHeight="1">
      <c r="A52" s="63">
        <v>39</v>
      </c>
      <c r="B52" s="64"/>
      <c r="C52" s="108"/>
      <c r="D52" s="58"/>
      <c r="E52" s="59"/>
      <c r="F52" s="59"/>
      <c r="G52" s="59"/>
      <c r="H52" s="59"/>
      <c r="I52" s="59"/>
      <c r="J52" s="59"/>
      <c r="K52" s="68"/>
      <c r="L52" s="99"/>
      <c r="M52" s="59"/>
      <c r="N52" s="99"/>
      <c r="O52" s="72"/>
    </row>
    <row r="53" spans="1:15" ht="15.75" hidden="1" customHeight="1">
      <c r="A53" s="63">
        <v>40</v>
      </c>
      <c r="B53" s="64"/>
      <c r="C53" s="108"/>
      <c r="D53" s="58"/>
      <c r="E53" s="59"/>
      <c r="F53" s="59"/>
      <c r="G53" s="59"/>
      <c r="H53" s="59"/>
      <c r="I53" s="59"/>
      <c r="J53" s="59"/>
      <c r="K53" s="68"/>
      <c r="L53" s="99"/>
      <c r="M53" s="59"/>
      <c r="N53" s="99"/>
      <c r="O53" s="72"/>
    </row>
    <row r="54" spans="1:15" ht="15.75" hidden="1" customHeight="1">
      <c r="A54" s="63">
        <v>41</v>
      </c>
      <c r="B54" s="64"/>
      <c r="C54" s="108"/>
      <c r="D54" s="58"/>
      <c r="E54" s="60"/>
      <c r="F54" s="59"/>
      <c r="G54" s="59"/>
      <c r="H54" s="59"/>
      <c r="I54" s="59"/>
      <c r="J54" s="59"/>
      <c r="K54" s="68"/>
      <c r="L54" s="99"/>
      <c r="M54" s="59"/>
      <c r="N54" s="99"/>
      <c r="O54" s="72"/>
    </row>
    <row r="55" spans="1:15" ht="15.75" hidden="1" customHeight="1">
      <c r="A55" s="63">
        <v>42</v>
      </c>
      <c r="B55" s="64"/>
      <c r="C55" s="108"/>
      <c r="D55" s="58"/>
      <c r="E55" s="59"/>
      <c r="F55" s="59"/>
      <c r="G55" s="59"/>
      <c r="H55" s="59"/>
      <c r="I55" s="59"/>
      <c r="J55" s="59"/>
      <c r="K55" s="68"/>
      <c r="L55" s="99"/>
      <c r="M55" s="59"/>
      <c r="N55" s="99"/>
      <c r="O55" s="72"/>
    </row>
    <row r="56" spans="1:15" ht="15.75" hidden="1" customHeight="1">
      <c r="A56" s="63">
        <v>43</v>
      </c>
      <c r="B56" s="64"/>
      <c r="C56" s="109"/>
      <c r="D56" s="73"/>
      <c r="E56" s="59"/>
      <c r="F56" s="74"/>
      <c r="G56" s="74"/>
      <c r="H56" s="74"/>
      <c r="I56" s="74"/>
      <c r="J56" s="74"/>
      <c r="K56" s="75"/>
      <c r="L56" s="116"/>
      <c r="M56" s="74"/>
      <c r="N56" s="116"/>
      <c r="O56" s="76"/>
    </row>
    <row r="57" spans="1:15" ht="15.75" hidden="1" customHeight="1">
      <c r="A57" s="63">
        <v>44</v>
      </c>
      <c r="B57" s="64"/>
      <c r="C57" s="108"/>
      <c r="D57" s="58"/>
      <c r="E57" s="59"/>
      <c r="F57" s="59"/>
      <c r="G57" s="59"/>
      <c r="H57" s="59"/>
      <c r="I57" s="59"/>
      <c r="J57" s="59"/>
      <c r="K57" s="68"/>
      <c r="L57" s="99"/>
      <c r="M57" s="59"/>
      <c r="N57" s="99"/>
      <c r="O57" s="72"/>
    </row>
    <row r="58" spans="1:15" ht="15.75" hidden="1" customHeight="1">
      <c r="A58" s="63">
        <v>45</v>
      </c>
      <c r="B58" s="64"/>
      <c r="C58" s="108"/>
      <c r="D58" s="58"/>
      <c r="E58" s="59"/>
      <c r="F58" s="59"/>
      <c r="G58" s="59"/>
      <c r="H58" s="59"/>
      <c r="I58" s="59"/>
      <c r="J58" s="59"/>
      <c r="K58" s="68"/>
      <c r="L58" s="99"/>
      <c r="M58" s="59"/>
      <c r="N58" s="99"/>
      <c r="O58" s="72"/>
    </row>
    <row r="59" spans="1:15" ht="15.75" hidden="1" customHeight="1">
      <c r="A59" s="63">
        <v>46</v>
      </c>
      <c r="B59" s="64"/>
      <c r="C59" s="108"/>
      <c r="D59" s="58"/>
      <c r="E59" s="60"/>
      <c r="F59" s="59"/>
      <c r="G59" s="59"/>
      <c r="H59" s="59"/>
      <c r="I59" s="59"/>
      <c r="J59" s="59"/>
      <c r="K59" s="77"/>
      <c r="L59" s="117"/>
      <c r="M59" s="59"/>
      <c r="N59" s="117"/>
      <c r="O59" s="72"/>
    </row>
    <row r="60" spans="1:15" ht="15.75" hidden="1" customHeight="1">
      <c r="A60" s="63">
        <v>47</v>
      </c>
      <c r="B60" s="64"/>
      <c r="C60" s="108"/>
      <c r="D60" s="58"/>
      <c r="E60" s="59"/>
      <c r="F60" s="59"/>
      <c r="G60" s="59"/>
      <c r="H60" s="59"/>
      <c r="I60" s="59"/>
      <c r="J60" s="59"/>
      <c r="K60" s="68"/>
      <c r="L60" s="99"/>
      <c r="M60" s="59"/>
      <c r="N60" s="99"/>
      <c r="O60" s="72"/>
    </row>
    <row r="61" spans="1:15" ht="15.75" hidden="1" customHeight="1">
      <c r="A61" s="63">
        <v>48</v>
      </c>
      <c r="B61" s="64"/>
      <c r="C61" s="108"/>
      <c r="D61" s="58"/>
      <c r="E61" s="59"/>
      <c r="F61" s="59"/>
      <c r="G61" s="59"/>
      <c r="H61" s="59"/>
      <c r="I61" s="59"/>
      <c r="J61" s="59"/>
      <c r="K61" s="68"/>
      <c r="L61" s="99"/>
      <c r="M61" s="59"/>
      <c r="N61" s="99"/>
      <c r="O61" s="72"/>
    </row>
    <row r="62" spans="1:15" ht="15.75" hidden="1" customHeight="1">
      <c r="A62" s="63">
        <v>49</v>
      </c>
      <c r="B62" s="64"/>
      <c r="C62" s="108"/>
      <c r="D62" s="58"/>
      <c r="E62" s="59"/>
      <c r="F62" s="59"/>
      <c r="G62" s="59"/>
      <c r="H62" s="59"/>
      <c r="I62" s="59"/>
      <c r="J62" s="59"/>
      <c r="K62" s="68"/>
      <c r="L62" s="99"/>
      <c r="M62" s="59"/>
      <c r="N62" s="99"/>
      <c r="O62" s="72"/>
    </row>
    <row r="63" spans="1:15" ht="15.75" hidden="1" customHeight="1">
      <c r="A63" s="63">
        <v>50</v>
      </c>
      <c r="B63" s="64"/>
      <c r="C63" s="108"/>
      <c r="D63" s="58"/>
      <c r="E63" s="59"/>
      <c r="F63" s="59"/>
      <c r="G63" s="59"/>
      <c r="H63" s="59"/>
      <c r="I63" s="59"/>
      <c r="J63" s="59"/>
      <c r="K63" s="68"/>
      <c r="L63" s="99"/>
      <c r="M63" s="59"/>
      <c r="N63" s="99"/>
      <c r="O63" s="72"/>
    </row>
    <row r="64" spans="1:15" ht="15.75" hidden="1" customHeight="1">
      <c r="A64" s="63">
        <v>51</v>
      </c>
      <c r="B64" s="64"/>
      <c r="C64" s="108"/>
      <c r="D64" s="58"/>
      <c r="E64" s="60"/>
      <c r="F64" s="59"/>
      <c r="G64" s="59"/>
      <c r="H64" s="59"/>
      <c r="I64" s="59"/>
      <c r="J64" s="59"/>
      <c r="K64" s="68"/>
      <c r="L64" s="99"/>
      <c r="M64" s="59"/>
      <c r="N64" s="99"/>
      <c r="O64" s="72"/>
    </row>
    <row r="65" spans="1:15" ht="15.75" hidden="1" customHeight="1">
      <c r="A65" s="63">
        <v>52</v>
      </c>
      <c r="B65" s="64"/>
      <c r="C65" s="108"/>
      <c r="D65" s="58"/>
      <c r="E65" s="59"/>
      <c r="F65" s="59"/>
      <c r="G65" s="59"/>
      <c r="H65" s="59"/>
      <c r="I65" s="59"/>
      <c r="J65" s="59"/>
      <c r="K65" s="68"/>
      <c r="L65" s="99"/>
      <c r="M65" s="59"/>
      <c r="N65" s="99"/>
      <c r="O65" s="72"/>
    </row>
    <row r="66" spans="1:15" ht="15.75" hidden="1" customHeight="1">
      <c r="A66" s="63">
        <v>53</v>
      </c>
      <c r="B66" s="64"/>
      <c r="C66" s="108"/>
      <c r="D66" s="58"/>
      <c r="E66" s="59"/>
      <c r="F66" s="59"/>
      <c r="G66" s="59"/>
      <c r="H66" s="59"/>
      <c r="I66" s="59"/>
      <c r="J66" s="59"/>
      <c r="K66" s="68"/>
      <c r="L66" s="99"/>
      <c r="M66" s="59"/>
      <c r="N66" s="99"/>
      <c r="O66" s="72"/>
    </row>
    <row r="67" spans="1:15" ht="15.75" hidden="1" customHeight="1">
      <c r="A67" s="63">
        <v>54</v>
      </c>
      <c r="B67" s="64"/>
      <c r="C67" s="108"/>
      <c r="D67" s="58"/>
      <c r="E67" s="59"/>
      <c r="F67" s="59"/>
      <c r="G67" s="59"/>
      <c r="H67" s="59"/>
      <c r="I67" s="59"/>
      <c r="J67" s="59"/>
      <c r="K67" s="68"/>
      <c r="L67" s="99"/>
      <c r="M67" s="59"/>
      <c r="N67" s="99"/>
      <c r="O67" s="72"/>
    </row>
    <row r="68" spans="1:15" ht="15.75" hidden="1" customHeight="1">
      <c r="A68" s="63">
        <v>55</v>
      </c>
      <c r="B68" s="64"/>
      <c r="C68" s="110"/>
      <c r="D68" s="78"/>
      <c r="E68" s="59"/>
      <c r="F68" s="79"/>
      <c r="G68" s="79"/>
      <c r="H68" s="79"/>
      <c r="I68" s="79"/>
      <c r="J68" s="79"/>
      <c r="K68" s="68"/>
      <c r="L68" s="99"/>
      <c r="M68" s="79"/>
      <c r="N68" s="99"/>
      <c r="O68" s="80"/>
    </row>
    <row r="69" spans="1:15" ht="15.75" hidden="1" customHeight="1">
      <c r="A69" s="63">
        <v>56</v>
      </c>
      <c r="B69" s="64"/>
      <c r="C69" s="110"/>
      <c r="D69" s="78"/>
      <c r="E69" s="79"/>
      <c r="F69" s="79"/>
      <c r="G69" s="79"/>
      <c r="H69" s="79"/>
      <c r="I69" s="79"/>
      <c r="J69" s="79"/>
      <c r="K69" s="68"/>
      <c r="L69" s="99"/>
      <c r="M69" s="79"/>
      <c r="N69" s="99"/>
      <c r="O69" s="80"/>
    </row>
    <row r="70" spans="1:15" ht="15.75" hidden="1" customHeight="1">
      <c r="A70" s="63">
        <v>57</v>
      </c>
      <c r="B70" s="64"/>
      <c r="C70" s="110"/>
      <c r="D70" s="78"/>
      <c r="E70" s="79"/>
      <c r="F70" s="79"/>
      <c r="G70" s="79"/>
      <c r="H70" s="79"/>
      <c r="I70" s="79"/>
      <c r="J70" s="79"/>
      <c r="K70" s="68"/>
      <c r="L70" s="99"/>
      <c r="M70" s="79"/>
      <c r="N70" s="99"/>
      <c r="O70" s="80"/>
    </row>
    <row r="71" spans="1:15" ht="15.75" hidden="1" customHeight="1">
      <c r="A71" s="63">
        <v>58</v>
      </c>
      <c r="B71" s="64"/>
      <c r="C71" s="110"/>
      <c r="D71" s="78"/>
      <c r="E71" s="79"/>
      <c r="F71" s="79"/>
      <c r="G71" s="79"/>
      <c r="H71" s="79"/>
      <c r="I71" s="79"/>
      <c r="J71" s="79"/>
      <c r="K71" s="68"/>
      <c r="L71" s="99"/>
      <c r="M71" s="79"/>
      <c r="N71" s="99"/>
      <c r="O71" s="80"/>
    </row>
    <row r="72" spans="1:15" ht="15.75" hidden="1" customHeight="1">
      <c r="A72" s="63">
        <v>59</v>
      </c>
      <c r="B72" s="64"/>
      <c r="C72" s="110"/>
      <c r="D72" s="78"/>
      <c r="E72" s="79"/>
      <c r="F72" s="79"/>
      <c r="G72" s="79"/>
      <c r="H72" s="79"/>
      <c r="I72" s="79"/>
      <c r="J72" s="79"/>
      <c r="K72" s="68"/>
      <c r="L72" s="99"/>
      <c r="M72" s="79"/>
      <c r="N72" s="99"/>
      <c r="O72" s="80"/>
    </row>
  </sheetData>
  <conditionalFormatting sqref="M2:M42">
    <cfRule type="cellIs" dxfId="47" priority="1" operator="equal">
      <formula>"In Process"</formula>
    </cfRule>
    <cfRule type="cellIs" dxfId="46" priority="2" operator="equal">
      <formula>"Not Received"</formula>
    </cfRule>
    <cfRule type="cellIs" dxfId="45" priority="3" operator="equal">
      <formula>"Paid By Client"</formula>
    </cfRule>
    <cfRule type="cellIs" dxfId="44" priority="4" operator="equal">
      <formula>"Payment Received"</formula>
    </cfRule>
  </conditionalFormatting>
  <dataValidations count="1">
    <dataValidation type="list" allowBlank="1" showInputMessage="1" showErrorMessage="1" sqref="D2:D39" xr:uid="{00000000-0002-0000-0800-000000000000}">
      <formula1>client</formula1>
    </dataValidation>
  </dataValidations>
  <hyperlinks>
    <hyperlink ref="H2" r:id="rId1" xr:uid="{00000000-0004-0000-0800-000000000000}"/>
    <hyperlink ref="G3" r:id="rId2" xr:uid="{00000000-0004-0000-0800-000001000000}"/>
    <hyperlink ref="G4" r:id="rId3" xr:uid="{00000000-0004-0000-0800-000002000000}"/>
    <hyperlink ref="G7" r:id="rId4" xr:uid="{00000000-0004-0000-0800-000003000000}"/>
    <hyperlink ref="G9" r:id="rId5" xr:uid="{00000000-0004-0000-0800-000004000000}"/>
    <hyperlink ref="K3" r:id="rId6" xr:uid="{00000000-0004-0000-0800-000005000000}"/>
    <hyperlink ref="K4" r:id="rId7" xr:uid="{00000000-0004-0000-0800-000006000000}"/>
    <hyperlink ref="K7" r:id="rId8" xr:uid="{00000000-0004-0000-0800-000007000000}"/>
    <hyperlink ref="K10" r:id="rId9" display="PKR 500" xr:uid="{00000000-0004-0000-0800-000008000000}"/>
    <hyperlink ref="K6" r:id="rId10" xr:uid="{00000000-0004-0000-0800-000009000000}"/>
    <hyperlink ref="K9" r:id="rId11" xr:uid="{00000000-0004-0000-0800-00000A000000}"/>
    <hyperlink ref="K11" r:id="rId12" xr:uid="{00000000-0004-0000-0800-00000B000000}"/>
    <hyperlink ref="K12" r:id="rId13" xr:uid="{00000000-0004-0000-0800-00000C000000}"/>
    <hyperlink ref="K13" r:id="rId14" xr:uid="{00000000-0004-0000-0800-00000D000000}"/>
    <hyperlink ref="N12" r:id="rId15" xr:uid="{00000000-0004-0000-0800-00000E000000}"/>
    <hyperlink ref="N11" r:id="rId16" xr:uid="{00000000-0004-0000-0800-00000F000000}"/>
    <hyperlink ref="N6" r:id="rId17" xr:uid="{00000000-0004-0000-0800-000010000000}"/>
  </hyperlinks>
  <pageMargins left="0.7" right="0.7" top="0.75" bottom="0.75" header="0" footer="0"/>
  <pageSetup scale="84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85"/>
  <sheetViews>
    <sheetView topLeftCell="F1" workbookViewId="0">
      <pane ySplit="1" topLeftCell="A2" activePane="bottomLeft" state="frozen"/>
      <selection pane="bottomLeft" activeCell="V18" sqref="V18"/>
      <selection activeCell="V18" sqref="V18"/>
    </sheetView>
  </sheetViews>
  <sheetFormatPr defaultColWidth="14.42578125" defaultRowHeight="15" customHeight="1"/>
  <cols>
    <col min="1" max="1" width="8.7109375" customWidth="1"/>
    <col min="2" max="2" width="19" customWidth="1"/>
    <col min="3" max="3" width="19.7109375" customWidth="1"/>
    <col min="4" max="4" width="28.140625" customWidth="1"/>
    <col min="5" max="5" width="45.85546875" customWidth="1"/>
    <col min="6" max="6" width="24.7109375" customWidth="1"/>
    <col min="7" max="7" width="23" customWidth="1"/>
    <col min="8" max="8" width="26.140625" bestFit="1" customWidth="1"/>
    <col min="9" max="9" width="17.28515625" customWidth="1"/>
    <col min="10" max="10" width="20.85546875" customWidth="1"/>
    <col min="11" max="12" width="22.7109375" customWidth="1"/>
    <col min="13" max="13" width="21.42578125" customWidth="1"/>
    <col min="14" max="14" width="22.7109375" customWidth="1"/>
    <col min="15" max="15" width="85.28515625" customWidth="1"/>
  </cols>
  <sheetData>
    <row r="1" spans="1:28" ht="33" customHeight="1">
      <c r="A1" s="146" t="s">
        <v>15</v>
      </c>
      <c r="B1" s="149" t="s">
        <v>219</v>
      </c>
      <c r="C1" s="149" t="s">
        <v>220</v>
      </c>
      <c r="D1" s="147" t="s">
        <v>221</v>
      </c>
      <c r="E1" s="147" t="s">
        <v>222</v>
      </c>
      <c r="F1" s="147" t="s">
        <v>223</v>
      </c>
      <c r="G1" s="147" t="s">
        <v>224</v>
      </c>
      <c r="H1" s="147" t="s">
        <v>225</v>
      </c>
      <c r="I1" s="147" t="s">
        <v>226</v>
      </c>
      <c r="J1" s="149" t="s">
        <v>330</v>
      </c>
      <c r="K1" s="146" t="s">
        <v>227</v>
      </c>
      <c r="L1" s="148" t="s">
        <v>228</v>
      </c>
      <c r="M1" s="149" t="s">
        <v>229</v>
      </c>
      <c r="N1" s="148" t="s">
        <v>230</v>
      </c>
      <c r="O1" s="146" t="s">
        <v>18</v>
      </c>
    </row>
    <row r="2" spans="1:28" ht="15.75">
      <c r="A2" s="5">
        <v>1</v>
      </c>
      <c r="B2" s="128">
        <v>44961</v>
      </c>
      <c r="C2" s="139"/>
      <c r="D2" s="130" t="s">
        <v>321</v>
      </c>
      <c r="E2" s="131" t="s">
        <v>335</v>
      </c>
      <c r="F2" s="156">
        <v>319455470</v>
      </c>
      <c r="G2" s="210" t="s">
        <v>336</v>
      </c>
      <c r="H2" s="133" t="s">
        <v>323</v>
      </c>
      <c r="I2" s="133" t="s">
        <v>374</v>
      </c>
      <c r="J2" s="150"/>
      <c r="K2" s="224" t="s">
        <v>337</v>
      </c>
      <c r="L2" s="150">
        <v>20.77</v>
      </c>
      <c r="M2" s="234"/>
      <c r="N2" s="208"/>
      <c r="O2" s="238" t="s">
        <v>375</v>
      </c>
      <c r="AB2" s="130" t="s">
        <v>234</v>
      </c>
    </row>
    <row r="3" spans="1:28" ht="15.75">
      <c r="A3" s="9">
        <v>2</v>
      </c>
      <c r="B3" s="136">
        <v>44991</v>
      </c>
      <c r="C3" s="139"/>
      <c r="D3" s="130" t="s">
        <v>321</v>
      </c>
      <c r="E3" s="131" t="s">
        <v>376</v>
      </c>
      <c r="F3" s="156">
        <v>347945562</v>
      </c>
      <c r="G3" s="210" t="s">
        <v>377</v>
      </c>
      <c r="H3" s="133" t="s">
        <v>323</v>
      </c>
      <c r="I3" s="133" t="s">
        <v>374</v>
      </c>
      <c r="J3" s="150"/>
      <c r="K3" s="224">
        <v>900</v>
      </c>
      <c r="L3" s="150"/>
      <c r="M3" s="137"/>
      <c r="N3" s="69"/>
      <c r="O3" s="238" t="s">
        <v>378</v>
      </c>
    </row>
    <row r="4" spans="1:28" ht="47.25">
      <c r="A4" s="9">
        <v>3</v>
      </c>
      <c r="B4" s="128"/>
      <c r="C4" s="139">
        <v>44988</v>
      </c>
      <c r="D4" s="130" t="s">
        <v>370</v>
      </c>
      <c r="E4" s="241" t="s">
        <v>379</v>
      </c>
      <c r="F4" s="156"/>
      <c r="G4" s="210" t="s">
        <v>295</v>
      </c>
      <c r="H4" s="133"/>
      <c r="I4" s="133" t="s">
        <v>380</v>
      </c>
      <c r="J4" s="150"/>
      <c r="K4" s="224" t="s">
        <v>381</v>
      </c>
      <c r="L4" s="150">
        <v>74</v>
      </c>
      <c r="M4" s="137"/>
      <c r="N4" s="208" t="s">
        <v>382</v>
      </c>
      <c r="O4" s="238" t="s">
        <v>383</v>
      </c>
    </row>
    <row r="5" spans="1:28" ht="15.75">
      <c r="A5" s="9">
        <v>4</v>
      </c>
      <c r="B5" s="128">
        <v>45007</v>
      </c>
      <c r="C5" s="129"/>
      <c r="D5" s="130" t="s">
        <v>234</v>
      </c>
      <c r="E5" s="131" t="s">
        <v>384</v>
      </c>
      <c r="F5" s="197">
        <v>1713516066</v>
      </c>
      <c r="G5" s="132" t="s">
        <v>261</v>
      </c>
      <c r="H5" s="133"/>
      <c r="I5" s="133" t="s">
        <v>374</v>
      </c>
      <c r="J5" s="150">
        <f>450-409</f>
        <v>41</v>
      </c>
      <c r="K5" s="124">
        <f>107500+3000</f>
        <v>110500</v>
      </c>
      <c r="L5" s="150">
        <v>409</v>
      </c>
      <c r="M5" s="137" t="s">
        <v>3</v>
      </c>
      <c r="N5" s="208" t="s">
        <v>385</v>
      </c>
      <c r="O5" s="240" t="s">
        <v>386</v>
      </c>
    </row>
    <row r="6" spans="1:28" ht="15.75">
      <c r="A6" s="195">
        <v>5</v>
      </c>
      <c r="B6" s="128">
        <v>44996</v>
      </c>
      <c r="C6" s="129"/>
      <c r="D6" s="130" t="s">
        <v>231</v>
      </c>
      <c r="E6" s="131" t="s">
        <v>387</v>
      </c>
      <c r="F6" s="197" t="s">
        <v>388</v>
      </c>
      <c r="G6" s="198" t="s">
        <v>248</v>
      </c>
      <c r="H6" s="133"/>
      <c r="I6" s="133"/>
      <c r="J6" s="150"/>
      <c r="K6" s="224">
        <v>36386</v>
      </c>
      <c r="L6" s="150"/>
      <c r="M6" s="137" t="s">
        <v>3</v>
      </c>
      <c r="N6" s="200"/>
      <c r="O6" s="239" t="s">
        <v>389</v>
      </c>
    </row>
    <row r="7" spans="1:28" ht="15.75">
      <c r="A7" s="9">
        <v>6</v>
      </c>
      <c r="B7" s="136"/>
      <c r="C7" s="139">
        <v>45000</v>
      </c>
      <c r="D7" s="130" t="s">
        <v>370</v>
      </c>
      <c r="E7" s="131" t="s">
        <v>390</v>
      </c>
      <c r="F7" s="157"/>
      <c r="G7" s="154" t="s">
        <v>295</v>
      </c>
      <c r="H7" s="133"/>
      <c r="I7" s="137" t="s">
        <v>380</v>
      </c>
      <c r="J7" s="150"/>
      <c r="K7" s="224">
        <v>13500</v>
      </c>
      <c r="L7" s="150">
        <v>75</v>
      </c>
      <c r="M7" s="137"/>
      <c r="N7" s="208" t="s">
        <v>382</v>
      </c>
      <c r="O7" s="239" t="s">
        <v>391</v>
      </c>
    </row>
    <row r="8" spans="1:28" ht="15.75">
      <c r="A8" s="195">
        <v>7</v>
      </c>
      <c r="B8" s="136"/>
      <c r="C8" s="139">
        <v>45005</v>
      </c>
      <c r="D8" s="130" t="s">
        <v>339</v>
      </c>
      <c r="E8" s="131" t="s">
        <v>392</v>
      </c>
      <c r="F8" s="157"/>
      <c r="G8" s="137" t="s">
        <v>295</v>
      </c>
      <c r="H8" s="154"/>
      <c r="I8" s="137" t="s">
        <v>380</v>
      </c>
      <c r="J8" s="242"/>
      <c r="K8" s="224">
        <v>13400</v>
      </c>
      <c r="L8" s="150"/>
      <c r="M8" s="137"/>
      <c r="N8" s="208" t="s">
        <v>393</v>
      </c>
      <c r="O8" s="239" t="s">
        <v>375</v>
      </c>
    </row>
    <row r="9" spans="1:28" ht="15.75">
      <c r="A9" s="9">
        <v>8</v>
      </c>
      <c r="B9" s="136">
        <v>45012</v>
      </c>
      <c r="C9" s="139"/>
      <c r="D9" s="130" t="s">
        <v>234</v>
      </c>
      <c r="E9" s="131" t="s">
        <v>394</v>
      </c>
      <c r="F9" s="157" t="s">
        <v>395</v>
      </c>
      <c r="G9" s="210" t="s">
        <v>248</v>
      </c>
      <c r="H9" s="154"/>
      <c r="I9" s="137"/>
      <c r="J9" s="242"/>
      <c r="K9" s="224">
        <v>8000</v>
      </c>
      <c r="L9" s="150"/>
      <c r="M9" s="137"/>
      <c r="N9" s="161"/>
      <c r="O9" s="239" t="s">
        <v>396</v>
      </c>
    </row>
    <row r="10" spans="1:28" ht="15.75">
      <c r="A10" s="195">
        <v>9</v>
      </c>
      <c r="B10" s="136">
        <v>45009</v>
      </c>
      <c r="C10" s="139"/>
      <c r="D10" s="130" t="s">
        <v>321</v>
      </c>
      <c r="E10" s="131" t="s">
        <v>397</v>
      </c>
      <c r="F10" s="157">
        <v>771602067332</v>
      </c>
      <c r="G10" s="137" t="s">
        <v>233</v>
      </c>
      <c r="H10" s="154" t="s">
        <v>323</v>
      </c>
      <c r="I10" s="137"/>
      <c r="J10" s="242"/>
      <c r="K10" s="224"/>
      <c r="L10" s="150"/>
      <c r="M10" s="137" t="s">
        <v>398</v>
      </c>
      <c r="N10" s="208"/>
      <c r="O10" s="239" t="s">
        <v>399</v>
      </c>
    </row>
    <row r="11" spans="1:28" ht="15.75">
      <c r="A11" s="9">
        <v>10</v>
      </c>
      <c r="B11" s="136">
        <v>45019</v>
      </c>
      <c r="C11" s="139"/>
      <c r="D11" s="130" t="s">
        <v>234</v>
      </c>
      <c r="E11" s="131" t="s">
        <v>400</v>
      </c>
      <c r="F11" s="157">
        <v>396231313773</v>
      </c>
      <c r="G11" s="137" t="s">
        <v>233</v>
      </c>
      <c r="H11" s="154"/>
      <c r="I11" s="137" t="s">
        <v>374</v>
      </c>
      <c r="J11" s="242"/>
      <c r="K11" s="224"/>
      <c r="L11" s="150"/>
      <c r="M11" s="137"/>
      <c r="N11" s="208"/>
      <c r="O11" s="239" t="s">
        <v>396</v>
      </c>
    </row>
    <row r="12" spans="1:28" ht="15.75">
      <c r="A12" s="195">
        <v>11</v>
      </c>
      <c r="B12" s="136">
        <v>45016</v>
      </c>
      <c r="C12" s="139"/>
      <c r="D12" s="130" t="s">
        <v>321</v>
      </c>
      <c r="E12" s="131" t="s">
        <v>401</v>
      </c>
      <c r="F12" s="157">
        <v>220518291</v>
      </c>
      <c r="G12" s="137" t="s">
        <v>402</v>
      </c>
      <c r="H12" s="154"/>
      <c r="I12" s="137" t="s">
        <v>323</v>
      </c>
      <c r="J12" s="242"/>
      <c r="K12" s="224"/>
      <c r="L12" s="151">
        <v>5</v>
      </c>
      <c r="M12" s="137"/>
      <c r="N12" s="208"/>
      <c r="O12" s="138" t="s">
        <v>403</v>
      </c>
    </row>
    <row r="13" spans="1:28" ht="15.75">
      <c r="A13" s="9">
        <v>12</v>
      </c>
      <c r="B13" s="136"/>
      <c r="C13" s="139"/>
      <c r="D13" s="130"/>
      <c r="E13" s="142"/>
      <c r="F13" s="157"/>
      <c r="G13" s="137"/>
      <c r="H13" s="154"/>
      <c r="I13" s="137"/>
      <c r="J13" s="242"/>
      <c r="K13" s="224"/>
      <c r="L13" s="151"/>
      <c r="M13" s="137"/>
      <c r="N13" s="208"/>
      <c r="O13" s="138"/>
    </row>
    <row r="14" spans="1:28" ht="15.75">
      <c r="A14" s="195">
        <v>13</v>
      </c>
      <c r="B14" s="136"/>
      <c r="C14" s="139"/>
      <c r="D14" s="130"/>
      <c r="E14" s="142"/>
      <c r="F14" s="157"/>
      <c r="G14" s="137"/>
      <c r="H14" s="210"/>
      <c r="I14" s="137"/>
      <c r="J14" s="242"/>
      <c r="K14" s="124"/>
      <c r="L14" s="151"/>
      <c r="M14" s="137"/>
      <c r="N14" s="211"/>
      <c r="O14" s="138"/>
    </row>
    <row r="15" spans="1:28" ht="15.75">
      <c r="A15" s="9">
        <v>14</v>
      </c>
      <c r="B15" s="136"/>
      <c r="C15" s="139"/>
      <c r="D15" s="130"/>
      <c r="E15" s="142"/>
      <c r="F15" s="157"/>
      <c r="G15" s="137"/>
      <c r="H15" s="137"/>
      <c r="I15" s="137"/>
      <c r="J15" s="242"/>
      <c r="K15" s="224"/>
      <c r="L15" s="151"/>
      <c r="M15" s="137"/>
      <c r="N15" s="211"/>
      <c r="O15" s="138"/>
    </row>
    <row r="16" spans="1:28" ht="15.75">
      <c r="A16" s="195">
        <v>15</v>
      </c>
      <c r="B16" s="136"/>
      <c r="C16" s="139"/>
      <c r="D16" s="130"/>
      <c r="E16" s="142"/>
      <c r="F16" s="157"/>
      <c r="G16" s="137"/>
      <c r="H16" s="137"/>
      <c r="I16" s="137"/>
      <c r="J16" s="242"/>
      <c r="K16" s="124"/>
      <c r="L16" s="151"/>
      <c r="M16" s="137"/>
      <c r="N16" s="120"/>
      <c r="O16" s="138"/>
    </row>
    <row r="17" spans="1:15" ht="15.75">
      <c r="A17" s="9">
        <v>16</v>
      </c>
      <c r="B17" s="136"/>
      <c r="C17" s="139"/>
      <c r="D17" s="130"/>
      <c r="E17" s="142"/>
      <c r="F17" s="157"/>
      <c r="G17" s="137"/>
      <c r="H17" s="137"/>
      <c r="I17" s="137"/>
      <c r="J17" s="242"/>
      <c r="K17" s="124"/>
      <c r="L17" s="151"/>
      <c r="M17" s="137"/>
      <c r="N17" s="120"/>
      <c r="O17" s="138"/>
    </row>
    <row r="18" spans="1:15" ht="15.75">
      <c r="A18" s="195">
        <v>17</v>
      </c>
      <c r="B18" s="136"/>
      <c r="C18" s="139"/>
      <c r="D18" s="130"/>
      <c r="E18" s="141"/>
      <c r="F18" s="157"/>
      <c r="G18" s="137"/>
      <c r="H18" s="137"/>
      <c r="I18" s="137"/>
      <c r="J18" s="242"/>
      <c r="K18" s="124"/>
      <c r="L18" s="151"/>
      <c r="M18" s="137"/>
      <c r="N18" s="120"/>
      <c r="O18" s="143"/>
    </row>
    <row r="19" spans="1:15" ht="15.75" customHeight="1">
      <c r="A19" s="9">
        <v>18</v>
      </c>
      <c r="B19" s="136"/>
      <c r="C19" s="139"/>
      <c r="D19" s="130"/>
      <c r="E19" s="131"/>
      <c r="F19" s="157"/>
      <c r="G19" s="137"/>
      <c r="H19" s="137"/>
      <c r="I19" s="137"/>
      <c r="J19" s="242"/>
      <c r="K19" s="124"/>
      <c r="L19" s="151"/>
      <c r="M19" s="137"/>
      <c r="N19" s="120"/>
      <c r="O19" s="140"/>
    </row>
    <row r="20" spans="1:15" ht="15.75" customHeight="1">
      <c r="A20" s="195">
        <v>19</v>
      </c>
      <c r="B20" s="136"/>
      <c r="C20" s="139"/>
      <c r="D20" s="130"/>
      <c r="E20" s="131"/>
      <c r="F20" s="157"/>
      <c r="G20" s="137"/>
      <c r="H20" s="137"/>
      <c r="I20" s="137"/>
      <c r="J20" s="242"/>
      <c r="K20" s="124"/>
      <c r="L20" s="151"/>
      <c r="M20" s="137"/>
      <c r="N20" s="120"/>
      <c r="O20" s="140"/>
    </row>
    <row r="21" spans="1:15" ht="15.75" customHeight="1">
      <c r="A21" s="9">
        <v>20</v>
      </c>
      <c r="B21" s="136"/>
      <c r="C21" s="139"/>
      <c r="D21" s="130"/>
      <c r="E21" s="131"/>
      <c r="F21" s="157"/>
      <c r="G21" s="137"/>
      <c r="H21" s="137"/>
      <c r="I21" s="137"/>
      <c r="J21" s="242"/>
      <c r="K21" s="126"/>
      <c r="L21" s="151"/>
      <c r="M21" s="137"/>
      <c r="N21" s="120"/>
      <c r="O21" s="143"/>
    </row>
    <row r="22" spans="1:15" ht="15.75" customHeight="1">
      <c r="A22" s="195">
        <v>21</v>
      </c>
      <c r="B22" s="136"/>
      <c r="C22" s="139"/>
      <c r="D22" s="130"/>
      <c r="E22" s="131"/>
      <c r="F22" s="157"/>
      <c r="G22" s="137"/>
      <c r="H22" s="137"/>
      <c r="I22" s="137"/>
      <c r="J22" s="242"/>
      <c r="K22" s="127"/>
      <c r="L22" s="151"/>
      <c r="M22" s="137"/>
      <c r="N22" s="120"/>
      <c r="O22" s="140"/>
    </row>
    <row r="23" spans="1:15" ht="15.75" customHeight="1">
      <c r="A23" s="9">
        <v>22</v>
      </c>
      <c r="B23" s="136"/>
      <c r="C23" s="139"/>
      <c r="D23" s="130"/>
      <c r="E23" s="131"/>
      <c r="F23" s="157"/>
      <c r="G23" s="137"/>
      <c r="H23" s="137"/>
      <c r="I23" s="137"/>
      <c r="J23" s="242"/>
      <c r="K23" s="127"/>
      <c r="L23" s="151"/>
      <c r="M23" s="144"/>
      <c r="N23" s="120"/>
      <c r="O23" s="140"/>
    </row>
    <row r="24" spans="1:15" ht="15.75" customHeight="1">
      <c r="A24" s="195">
        <v>23</v>
      </c>
      <c r="B24" s="136"/>
      <c r="C24" s="139"/>
      <c r="D24" s="130"/>
      <c r="E24" s="142"/>
      <c r="F24" s="157"/>
      <c r="G24" s="137"/>
      <c r="H24" s="137"/>
      <c r="I24" s="137"/>
      <c r="J24" s="242"/>
      <c r="K24" s="127"/>
      <c r="L24" s="151"/>
      <c r="M24" s="144"/>
      <c r="N24" s="120"/>
      <c r="O24" s="140"/>
    </row>
    <row r="25" spans="1:15" ht="15.75" customHeight="1">
      <c r="A25" s="9"/>
      <c r="B25" s="136"/>
      <c r="C25" s="139"/>
      <c r="D25" s="130"/>
      <c r="E25" s="142"/>
      <c r="F25" s="157"/>
      <c r="G25" s="137"/>
      <c r="H25" s="137"/>
      <c r="I25" s="137"/>
      <c r="J25" s="242"/>
      <c r="K25" s="127"/>
      <c r="L25" s="151"/>
      <c r="M25" s="144"/>
      <c r="N25" s="120"/>
      <c r="O25" s="140"/>
    </row>
    <row r="26" spans="1:15" ht="15.75" customHeight="1">
      <c r="A26" s="9"/>
      <c r="B26" s="136"/>
      <c r="C26" s="139"/>
      <c r="D26" s="130"/>
      <c r="E26" s="142"/>
      <c r="F26" s="157"/>
      <c r="G26" s="137"/>
      <c r="H26" s="137"/>
      <c r="I26" s="137"/>
      <c r="J26" s="242"/>
      <c r="K26" s="127"/>
      <c r="L26" s="151"/>
      <c r="M26" s="144"/>
      <c r="N26" s="120"/>
      <c r="O26" s="140"/>
    </row>
    <row r="27" spans="1:15" ht="15.75" customHeight="1">
      <c r="A27" s="9"/>
      <c r="B27" s="136"/>
      <c r="C27" s="139"/>
      <c r="D27" s="130"/>
      <c r="E27" s="141"/>
      <c r="F27" s="158"/>
      <c r="G27" s="145"/>
      <c r="H27" s="145"/>
      <c r="I27" s="145"/>
      <c r="J27" s="243"/>
      <c r="K27" s="127"/>
      <c r="L27" s="151"/>
      <c r="M27" s="144"/>
      <c r="N27" s="118"/>
      <c r="O27" s="140"/>
    </row>
    <row r="28" spans="1:15" ht="15.75" customHeight="1">
      <c r="A28" s="9"/>
      <c r="B28" s="136"/>
      <c r="C28" s="139"/>
      <c r="D28" s="130"/>
      <c r="E28" s="141"/>
      <c r="F28" s="158"/>
      <c r="G28" s="145"/>
      <c r="H28" s="145"/>
      <c r="I28" s="145"/>
      <c r="J28" s="243"/>
      <c r="K28" s="127"/>
      <c r="L28" s="151"/>
      <c r="M28" s="137"/>
      <c r="N28" s="118"/>
      <c r="O28" s="140"/>
    </row>
    <row r="29" spans="1:15" ht="15.75" customHeight="1">
      <c r="A29" s="63"/>
      <c r="B29" s="83"/>
      <c r="C29" s="84"/>
      <c r="D29" s="58"/>
      <c r="E29" s="82"/>
      <c r="F29" s="159"/>
      <c r="G29" s="59"/>
      <c r="H29" s="59"/>
      <c r="I29" s="59"/>
      <c r="J29" s="244"/>
      <c r="K29" s="68"/>
      <c r="L29" s="152"/>
      <c r="M29" s="59"/>
      <c r="N29" s="118"/>
      <c r="O29" s="69"/>
    </row>
    <row r="30" spans="1:15" ht="15.75" customHeight="1">
      <c r="A30" s="63"/>
      <c r="B30" s="83"/>
      <c r="C30" s="84"/>
      <c r="D30" s="58"/>
      <c r="E30" s="82"/>
      <c r="F30" s="159"/>
      <c r="G30" s="59"/>
      <c r="H30" s="59"/>
      <c r="I30" s="59"/>
      <c r="J30" s="244"/>
      <c r="K30" s="68"/>
      <c r="L30" s="118"/>
      <c r="M30" s="59"/>
      <c r="N30" s="118"/>
      <c r="O30" s="69"/>
    </row>
    <row r="31" spans="1:15" ht="15.75" customHeight="1">
      <c r="A31" s="63"/>
      <c r="B31" s="83"/>
      <c r="C31" s="84"/>
      <c r="D31" s="58"/>
      <c r="E31" s="86"/>
      <c r="F31" s="159"/>
      <c r="G31" s="59"/>
      <c r="H31" s="59"/>
      <c r="I31" s="59"/>
      <c r="J31" s="244"/>
      <c r="K31" s="68"/>
      <c r="L31" s="118"/>
      <c r="M31" s="59"/>
      <c r="N31" s="118"/>
      <c r="O31" s="69"/>
    </row>
    <row r="32" spans="1:15" ht="15.75" customHeight="1">
      <c r="A32" s="63"/>
      <c r="B32" s="83"/>
      <c r="C32" s="84"/>
      <c r="D32" s="58"/>
      <c r="E32" s="85"/>
      <c r="F32" s="159"/>
      <c r="G32" s="59"/>
      <c r="H32" s="59"/>
      <c r="I32" s="59"/>
      <c r="J32" s="244"/>
      <c r="K32" s="68"/>
      <c r="L32" s="118"/>
      <c r="M32" s="59"/>
      <c r="N32" s="118"/>
      <c r="O32" s="69"/>
    </row>
    <row r="33" spans="1:15" ht="15.75" customHeight="1">
      <c r="A33" s="63"/>
      <c r="B33" s="83"/>
      <c r="C33" s="84"/>
      <c r="D33" s="58"/>
      <c r="E33" s="85"/>
      <c r="F33" s="87"/>
      <c r="G33" s="87"/>
      <c r="H33" s="87"/>
      <c r="I33" s="87"/>
      <c r="J33" s="245"/>
      <c r="K33" s="68"/>
      <c r="L33" s="118"/>
      <c r="M33" s="59"/>
      <c r="N33" s="160"/>
    </row>
    <row r="34" spans="1:15" ht="15.75" customHeight="1">
      <c r="A34" s="63"/>
      <c r="B34" s="83"/>
      <c r="C34" s="84"/>
      <c r="D34" s="58"/>
      <c r="E34" s="82"/>
      <c r="F34" s="59"/>
      <c r="G34" s="59"/>
      <c r="H34" s="59"/>
      <c r="I34" s="59"/>
      <c r="J34" s="244"/>
      <c r="K34" s="68"/>
      <c r="L34" s="118"/>
      <c r="M34" s="59"/>
      <c r="N34" s="118"/>
      <c r="O34" s="62"/>
    </row>
    <row r="35" spans="1:15" ht="15.75" customHeight="1">
      <c r="A35" s="63"/>
      <c r="B35" s="83"/>
      <c r="C35" s="84"/>
      <c r="D35" s="58"/>
      <c r="E35" s="82"/>
      <c r="F35" s="59"/>
      <c r="G35" s="59"/>
      <c r="H35" s="59"/>
      <c r="I35" s="59"/>
      <c r="J35" s="244"/>
      <c r="K35" s="68"/>
      <c r="L35" s="118"/>
      <c r="M35" s="59"/>
      <c r="N35" s="118"/>
      <c r="O35" s="72"/>
    </row>
    <row r="36" spans="1:15" ht="15.75" customHeight="1">
      <c r="A36" s="63"/>
      <c r="B36" s="83"/>
      <c r="C36" s="84"/>
      <c r="D36" s="58"/>
      <c r="E36" s="82"/>
      <c r="F36" s="59"/>
      <c r="G36" s="59"/>
      <c r="H36" s="59"/>
      <c r="I36" s="59"/>
      <c r="J36" s="244"/>
      <c r="K36" s="68"/>
      <c r="L36" s="118"/>
      <c r="M36" s="59"/>
      <c r="N36" s="118"/>
      <c r="O36" s="69"/>
    </row>
    <row r="37" spans="1:15" ht="15.75" customHeight="1">
      <c r="A37" s="63"/>
      <c r="B37" s="83"/>
      <c r="C37" s="84"/>
      <c r="D37" s="58"/>
      <c r="E37" s="85"/>
      <c r="F37" s="59"/>
      <c r="G37" s="59"/>
      <c r="H37" s="59"/>
      <c r="I37" s="59"/>
      <c r="J37" s="244"/>
      <c r="K37" s="68"/>
      <c r="L37" s="118"/>
      <c r="M37" s="59"/>
      <c r="N37" s="118"/>
      <c r="O37" s="69"/>
    </row>
    <row r="38" spans="1:15" ht="15.75" customHeight="1">
      <c r="A38" s="63"/>
      <c r="B38" s="83"/>
      <c r="C38" s="84"/>
      <c r="D38" s="58"/>
      <c r="E38" s="82"/>
      <c r="F38" s="59"/>
      <c r="G38" s="59"/>
      <c r="H38" s="59"/>
      <c r="I38" s="59"/>
      <c r="J38" s="244"/>
      <c r="K38" s="68"/>
      <c r="L38" s="118"/>
      <c r="M38" s="59"/>
      <c r="N38" s="118"/>
      <c r="O38" s="69"/>
    </row>
    <row r="39" spans="1:15" ht="15.75" customHeight="1">
      <c r="A39" s="63"/>
      <c r="B39" s="83"/>
      <c r="C39" s="84"/>
      <c r="D39" s="58"/>
      <c r="E39" s="82"/>
      <c r="F39" s="59"/>
      <c r="G39" s="59"/>
      <c r="H39" s="59"/>
      <c r="I39" s="59"/>
      <c r="J39" s="244"/>
      <c r="K39" s="68"/>
      <c r="L39" s="118"/>
      <c r="M39" s="59"/>
      <c r="N39" s="118"/>
      <c r="O39" s="69"/>
    </row>
    <row r="40" spans="1:15" ht="15.75" customHeight="1">
      <c r="A40" s="63"/>
      <c r="B40" s="83"/>
      <c r="C40" s="84"/>
      <c r="D40" s="58"/>
      <c r="E40" s="82"/>
      <c r="F40" s="59"/>
      <c r="G40" s="59"/>
      <c r="H40" s="59"/>
      <c r="I40" s="59"/>
      <c r="J40" s="244"/>
      <c r="K40" s="68"/>
      <c r="L40" s="118"/>
      <c r="M40" s="59"/>
      <c r="N40" s="118"/>
      <c r="O40" s="69"/>
    </row>
    <row r="41" spans="1:15" ht="15.75" customHeight="1">
      <c r="A41" s="63"/>
      <c r="B41" s="83"/>
      <c r="C41" s="84"/>
      <c r="D41" s="58"/>
      <c r="E41" s="82"/>
      <c r="F41" s="59"/>
      <c r="G41" s="59"/>
      <c r="H41" s="59"/>
      <c r="I41" s="59"/>
      <c r="J41" s="244"/>
      <c r="K41" s="68"/>
      <c r="L41" s="118"/>
      <c r="M41" s="59"/>
      <c r="N41" s="118"/>
      <c r="O41" s="69"/>
    </row>
    <row r="42" spans="1:15" ht="15.75" customHeight="1">
      <c r="A42" s="88"/>
      <c r="B42" s="89"/>
      <c r="C42" s="90"/>
      <c r="D42" s="91"/>
      <c r="E42" s="92"/>
      <c r="F42" s="93"/>
      <c r="G42" s="93"/>
      <c r="H42" s="94"/>
      <c r="I42" s="94"/>
      <c r="J42" s="246"/>
      <c r="K42" s="95"/>
      <c r="L42" s="119"/>
      <c r="M42" s="94"/>
      <c r="N42" s="119"/>
      <c r="O42" s="69"/>
    </row>
    <row r="43" spans="1:15" ht="15.75" customHeight="1">
      <c r="A43" s="96"/>
      <c r="B43" s="96"/>
      <c r="C43" s="96"/>
      <c r="D43" s="96"/>
      <c r="E43" s="96"/>
      <c r="F43" s="96"/>
      <c r="G43" s="96"/>
      <c r="H43" s="96"/>
      <c r="I43" s="96"/>
      <c r="J43" s="247"/>
      <c r="K43" s="98">
        <f>SUM(K2:K42)</f>
        <v>182686</v>
      </c>
      <c r="L43" s="98"/>
      <c r="M43" s="97" t="s">
        <v>123</v>
      </c>
      <c r="N43" s="98"/>
      <c r="O43" s="99"/>
    </row>
    <row r="44" spans="1:15" ht="15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248"/>
      <c r="K44" s="98">
        <f>SUMIF(K2:K42,M44,K2:K42)</f>
        <v>0</v>
      </c>
      <c r="L44" s="98"/>
      <c r="M44" s="101" t="s">
        <v>179</v>
      </c>
      <c r="N44" s="98"/>
      <c r="O44" s="99"/>
    </row>
    <row r="45" spans="1:15" ht="15.75" customHeight="1">
      <c r="A45" s="102"/>
      <c r="B45" s="102"/>
      <c r="C45" s="102"/>
      <c r="D45" s="102"/>
      <c r="E45" s="102"/>
      <c r="F45" s="102"/>
      <c r="G45" s="102"/>
      <c r="H45" s="102"/>
      <c r="I45" s="102"/>
      <c r="J45" s="249"/>
      <c r="K45" s="98">
        <f>SUMIF(K2:K42,M45,K2:K42)</f>
        <v>0</v>
      </c>
      <c r="L45" s="98"/>
      <c r="M45" s="103" t="s">
        <v>183</v>
      </c>
      <c r="N45" s="98"/>
      <c r="O45" s="99"/>
    </row>
    <row r="46" spans="1:15" ht="15.75" hidden="1" customHeight="1">
      <c r="A46" s="104">
        <v>33</v>
      </c>
      <c r="B46" s="57"/>
      <c r="C46" s="105"/>
      <c r="D46" s="106"/>
      <c r="E46" s="107"/>
      <c r="F46" s="107"/>
      <c r="G46" s="107"/>
      <c r="H46" s="107"/>
      <c r="I46" s="107"/>
      <c r="J46" s="250"/>
      <c r="K46" s="67"/>
      <c r="L46" s="115"/>
      <c r="M46" s="107"/>
      <c r="N46" s="115"/>
      <c r="O46" s="69"/>
    </row>
    <row r="47" spans="1:15" ht="15.75" hidden="1" customHeight="1">
      <c r="A47" s="63">
        <v>34</v>
      </c>
      <c r="B47" s="64"/>
      <c r="C47" s="108"/>
      <c r="D47" s="58"/>
      <c r="E47" s="59"/>
      <c r="F47" s="59"/>
      <c r="G47" s="59"/>
      <c r="H47" s="59"/>
      <c r="I47" s="59"/>
      <c r="J47" s="244"/>
      <c r="K47" s="68"/>
      <c r="L47" s="99"/>
      <c r="M47" s="59"/>
      <c r="N47" s="99"/>
      <c r="O47" s="72"/>
    </row>
    <row r="48" spans="1:15" ht="15.75" hidden="1" customHeight="1">
      <c r="A48" s="63">
        <v>35</v>
      </c>
      <c r="B48" s="64"/>
      <c r="C48" s="108"/>
      <c r="D48" s="58"/>
      <c r="E48" s="59"/>
      <c r="F48" s="59"/>
      <c r="G48" s="59"/>
      <c r="H48" s="59"/>
      <c r="I48" s="59"/>
      <c r="J48" s="244"/>
      <c r="K48" s="68"/>
      <c r="L48" s="99"/>
      <c r="M48" s="59"/>
      <c r="N48" s="99"/>
      <c r="O48" s="72"/>
    </row>
    <row r="49" spans="1:15" ht="15.75" hidden="1" customHeight="1">
      <c r="A49" s="63">
        <v>36</v>
      </c>
      <c r="B49" s="64"/>
      <c r="C49" s="108"/>
      <c r="D49" s="58"/>
      <c r="E49" s="60"/>
      <c r="F49" s="59"/>
      <c r="G49" s="59"/>
      <c r="H49" s="59"/>
      <c r="I49" s="59"/>
      <c r="J49" s="244"/>
      <c r="K49" s="68"/>
      <c r="L49" s="99"/>
      <c r="M49" s="59"/>
      <c r="N49" s="99"/>
      <c r="O49" s="72"/>
    </row>
    <row r="50" spans="1:15" ht="15.75" hidden="1" customHeight="1">
      <c r="A50" s="63">
        <v>37</v>
      </c>
      <c r="B50" s="64"/>
      <c r="C50" s="108"/>
      <c r="D50" s="58"/>
      <c r="E50" s="59"/>
      <c r="F50" s="59"/>
      <c r="G50" s="59"/>
      <c r="H50" s="59"/>
      <c r="I50" s="59"/>
      <c r="J50" s="244"/>
      <c r="K50" s="68"/>
      <c r="L50" s="99"/>
      <c r="M50" s="59"/>
      <c r="N50" s="99"/>
      <c r="O50" s="72"/>
    </row>
    <row r="51" spans="1:15" ht="15.75" hidden="1" customHeight="1">
      <c r="A51" s="63">
        <v>38</v>
      </c>
      <c r="B51" s="64"/>
      <c r="C51" s="108"/>
      <c r="D51" s="58"/>
      <c r="E51" s="59"/>
      <c r="F51" s="59"/>
      <c r="G51" s="59"/>
      <c r="H51" s="59"/>
      <c r="I51" s="59"/>
      <c r="J51" s="244"/>
      <c r="K51" s="68"/>
      <c r="L51" s="99"/>
      <c r="M51" s="59"/>
      <c r="N51" s="99"/>
      <c r="O51" s="72"/>
    </row>
    <row r="52" spans="1:15" ht="15.75" hidden="1" customHeight="1">
      <c r="A52" s="63">
        <v>39</v>
      </c>
      <c r="B52" s="64"/>
      <c r="C52" s="108"/>
      <c r="D52" s="58"/>
      <c r="E52" s="59"/>
      <c r="F52" s="59"/>
      <c r="G52" s="59"/>
      <c r="H52" s="59"/>
      <c r="I52" s="59"/>
      <c r="J52" s="244"/>
      <c r="K52" s="68"/>
      <c r="L52" s="99"/>
      <c r="M52" s="59"/>
      <c r="N52" s="99"/>
      <c r="O52" s="72"/>
    </row>
    <row r="53" spans="1:15" ht="15.75" hidden="1" customHeight="1">
      <c r="A53" s="63">
        <v>40</v>
      </c>
      <c r="B53" s="64"/>
      <c r="C53" s="108"/>
      <c r="D53" s="58"/>
      <c r="E53" s="59"/>
      <c r="F53" s="59"/>
      <c r="G53" s="59"/>
      <c r="H53" s="59"/>
      <c r="I53" s="59"/>
      <c r="J53" s="244"/>
      <c r="K53" s="68"/>
      <c r="L53" s="99"/>
      <c r="M53" s="59"/>
      <c r="N53" s="99"/>
      <c r="O53" s="72"/>
    </row>
    <row r="54" spans="1:15" ht="15.75" hidden="1" customHeight="1">
      <c r="A54" s="63">
        <v>41</v>
      </c>
      <c r="B54" s="64"/>
      <c r="C54" s="108"/>
      <c r="D54" s="58"/>
      <c r="E54" s="60"/>
      <c r="F54" s="59"/>
      <c r="G54" s="59"/>
      <c r="H54" s="59"/>
      <c r="I54" s="59"/>
      <c r="J54" s="244"/>
      <c r="K54" s="68"/>
      <c r="L54" s="99"/>
      <c r="M54" s="59"/>
      <c r="N54" s="99"/>
      <c r="O54" s="72"/>
    </row>
    <row r="55" spans="1:15" ht="15.75" hidden="1" customHeight="1">
      <c r="A55" s="63">
        <v>42</v>
      </c>
      <c r="B55" s="64"/>
      <c r="C55" s="108"/>
      <c r="D55" s="58"/>
      <c r="E55" s="59"/>
      <c r="F55" s="59"/>
      <c r="G55" s="59"/>
      <c r="H55" s="59"/>
      <c r="I55" s="59"/>
      <c r="J55" s="244"/>
      <c r="K55" s="68"/>
      <c r="L55" s="99"/>
      <c r="M55" s="59"/>
      <c r="N55" s="99"/>
      <c r="O55" s="72"/>
    </row>
    <row r="56" spans="1:15" ht="15.75" hidden="1" customHeight="1">
      <c r="A56" s="63">
        <v>43</v>
      </c>
      <c r="B56" s="64"/>
      <c r="C56" s="109"/>
      <c r="D56" s="73"/>
      <c r="E56" s="59"/>
      <c r="F56" s="74"/>
      <c r="G56" s="74"/>
      <c r="H56" s="74"/>
      <c r="I56" s="74"/>
      <c r="J56" s="251"/>
      <c r="K56" s="75"/>
      <c r="L56" s="116"/>
      <c r="M56" s="74"/>
      <c r="N56" s="116"/>
      <c r="O56" s="76"/>
    </row>
    <row r="57" spans="1:15" ht="15.75" hidden="1" customHeight="1">
      <c r="A57" s="63">
        <v>44</v>
      </c>
      <c r="B57" s="64"/>
      <c r="C57" s="108"/>
      <c r="D57" s="58"/>
      <c r="E57" s="59"/>
      <c r="F57" s="59"/>
      <c r="G57" s="59"/>
      <c r="H57" s="59"/>
      <c r="I57" s="59"/>
      <c r="J57" s="244"/>
      <c r="K57" s="68"/>
      <c r="L57" s="99"/>
      <c r="M57" s="59"/>
      <c r="N57" s="99"/>
      <c r="O57" s="72"/>
    </row>
    <row r="58" spans="1:15" ht="15.75" hidden="1" customHeight="1">
      <c r="A58" s="63">
        <v>45</v>
      </c>
      <c r="B58" s="64"/>
      <c r="C58" s="108"/>
      <c r="D58" s="58"/>
      <c r="E58" s="59"/>
      <c r="F58" s="59"/>
      <c r="G58" s="59"/>
      <c r="H58" s="59"/>
      <c r="I58" s="59"/>
      <c r="J58" s="244"/>
      <c r="K58" s="68"/>
      <c r="L58" s="99"/>
      <c r="M58" s="59"/>
      <c r="N58" s="99"/>
      <c r="O58" s="72"/>
    </row>
    <row r="59" spans="1:15" ht="15.75" hidden="1" customHeight="1">
      <c r="A59" s="63">
        <v>46</v>
      </c>
      <c r="B59" s="64"/>
      <c r="C59" s="108"/>
      <c r="D59" s="58"/>
      <c r="E59" s="60"/>
      <c r="F59" s="59"/>
      <c r="G59" s="59"/>
      <c r="H59" s="59"/>
      <c r="I59" s="59"/>
      <c r="J59" s="244"/>
      <c r="K59" s="77"/>
      <c r="L59" s="117"/>
      <c r="M59" s="59"/>
      <c r="N59" s="117"/>
      <c r="O59" s="72"/>
    </row>
    <row r="60" spans="1:15" ht="15.75" hidden="1" customHeight="1">
      <c r="A60" s="63">
        <v>47</v>
      </c>
      <c r="B60" s="64"/>
      <c r="C60" s="108"/>
      <c r="D60" s="58"/>
      <c r="E60" s="59"/>
      <c r="F60" s="59"/>
      <c r="G60" s="59"/>
      <c r="H60" s="59"/>
      <c r="I60" s="59"/>
      <c r="J60" s="244"/>
      <c r="K60" s="68"/>
      <c r="L60" s="99"/>
      <c r="M60" s="59"/>
      <c r="N60" s="99"/>
      <c r="O60" s="72"/>
    </row>
    <row r="61" spans="1:15" ht="15.75" hidden="1" customHeight="1">
      <c r="A61" s="63">
        <v>48</v>
      </c>
      <c r="B61" s="64"/>
      <c r="C61" s="108"/>
      <c r="D61" s="58"/>
      <c r="E61" s="59"/>
      <c r="F61" s="59"/>
      <c r="G61" s="59"/>
      <c r="H61" s="59"/>
      <c r="I61" s="59"/>
      <c r="J61" s="244"/>
      <c r="K61" s="68"/>
      <c r="L61" s="99"/>
      <c r="M61" s="59"/>
      <c r="N61" s="99"/>
      <c r="O61" s="72"/>
    </row>
    <row r="62" spans="1:15" ht="15.75" hidden="1" customHeight="1">
      <c r="A62" s="63">
        <v>49</v>
      </c>
      <c r="B62" s="64"/>
      <c r="C62" s="108"/>
      <c r="D62" s="58"/>
      <c r="E62" s="59"/>
      <c r="F62" s="59"/>
      <c r="G62" s="59"/>
      <c r="H62" s="59"/>
      <c r="I62" s="59"/>
      <c r="J62" s="244"/>
      <c r="K62" s="68"/>
      <c r="L62" s="99"/>
      <c r="M62" s="59"/>
      <c r="N62" s="99"/>
      <c r="O62" s="72"/>
    </row>
    <row r="63" spans="1:15" ht="15.75" hidden="1" customHeight="1">
      <c r="A63" s="63">
        <v>50</v>
      </c>
      <c r="B63" s="64"/>
      <c r="C63" s="108"/>
      <c r="D63" s="58"/>
      <c r="E63" s="59"/>
      <c r="F63" s="59"/>
      <c r="G63" s="59"/>
      <c r="H63" s="59"/>
      <c r="I63" s="59"/>
      <c r="J63" s="244"/>
      <c r="K63" s="68"/>
      <c r="L63" s="99"/>
      <c r="M63" s="59"/>
      <c r="N63" s="99"/>
      <c r="O63" s="72"/>
    </row>
    <row r="64" spans="1:15" ht="15.75" hidden="1" customHeight="1">
      <c r="A64" s="63">
        <v>51</v>
      </c>
      <c r="B64" s="64"/>
      <c r="C64" s="108"/>
      <c r="D64" s="58"/>
      <c r="E64" s="60"/>
      <c r="F64" s="59"/>
      <c r="G64" s="59"/>
      <c r="H64" s="59"/>
      <c r="I64" s="59"/>
      <c r="J64" s="244"/>
      <c r="K64" s="68"/>
      <c r="L64" s="99"/>
      <c r="M64" s="59"/>
      <c r="N64" s="99"/>
      <c r="O64" s="72"/>
    </row>
    <row r="65" spans="1:15" ht="15.75" hidden="1" customHeight="1">
      <c r="A65" s="63">
        <v>52</v>
      </c>
      <c r="B65" s="64"/>
      <c r="C65" s="108"/>
      <c r="D65" s="58"/>
      <c r="E65" s="59"/>
      <c r="F65" s="59"/>
      <c r="G65" s="59"/>
      <c r="H65" s="59"/>
      <c r="I65" s="59"/>
      <c r="J65" s="244"/>
      <c r="K65" s="68"/>
      <c r="L65" s="99"/>
      <c r="M65" s="59"/>
      <c r="N65" s="99"/>
      <c r="O65" s="72"/>
    </row>
    <row r="66" spans="1:15" ht="15.75" hidden="1" customHeight="1">
      <c r="A66" s="63">
        <v>53</v>
      </c>
      <c r="B66" s="64"/>
      <c r="C66" s="108"/>
      <c r="D66" s="58"/>
      <c r="E66" s="59"/>
      <c r="F66" s="59"/>
      <c r="G66" s="59"/>
      <c r="H66" s="59"/>
      <c r="I66" s="59"/>
      <c r="J66" s="244"/>
      <c r="K66" s="68"/>
      <c r="L66" s="99"/>
      <c r="M66" s="59"/>
      <c r="N66" s="99"/>
      <c r="O66" s="72"/>
    </row>
    <row r="67" spans="1:15" ht="15.75" hidden="1" customHeight="1">
      <c r="A67" s="63">
        <v>54</v>
      </c>
      <c r="B67" s="64"/>
      <c r="C67" s="108"/>
      <c r="D67" s="58"/>
      <c r="E67" s="59"/>
      <c r="F67" s="59"/>
      <c r="G67" s="59"/>
      <c r="H67" s="59"/>
      <c r="I67" s="59"/>
      <c r="J67" s="244"/>
      <c r="K67" s="68"/>
      <c r="L67" s="99"/>
      <c r="M67" s="59"/>
      <c r="N67" s="99"/>
      <c r="O67" s="72"/>
    </row>
    <row r="68" spans="1:15" ht="15.75" hidden="1" customHeight="1">
      <c r="A68" s="63">
        <v>55</v>
      </c>
      <c r="B68" s="64"/>
      <c r="C68" s="110"/>
      <c r="D68" s="78"/>
      <c r="E68" s="59"/>
      <c r="F68" s="79"/>
      <c r="G68" s="79"/>
      <c r="H68" s="79"/>
      <c r="I68" s="79"/>
      <c r="J68" s="252"/>
      <c r="K68" s="68"/>
      <c r="L68" s="99"/>
      <c r="M68" s="79"/>
      <c r="N68" s="99"/>
      <c r="O68" s="80"/>
    </row>
    <row r="69" spans="1:15" ht="15.75" hidden="1" customHeight="1">
      <c r="A69" s="63">
        <v>56</v>
      </c>
      <c r="B69" s="64"/>
      <c r="C69" s="110"/>
      <c r="D69" s="78"/>
      <c r="E69" s="79"/>
      <c r="F69" s="79"/>
      <c r="G69" s="79"/>
      <c r="H69" s="79"/>
      <c r="I69" s="79"/>
      <c r="J69" s="252"/>
      <c r="K69" s="68"/>
      <c r="L69" s="99"/>
      <c r="M69" s="79"/>
      <c r="N69" s="99"/>
      <c r="O69" s="80"/>
    </row>
    <row r="70" spans="1:15" ht="15.75" hidden="1" customHeight="1">
      <c r="A70" s="63">
        <v>57</v>
      </c>
      <c r="B70" s="64"/>
      <c r="C70" s="110"/>
      <c r="D70" s="78"/>
      <c r="E70" s="79"/>
      <c r="F70" s="79"/>
      <c r="G70" s="79"/>
      <c r="H70" s="79"/>
      <c r="I70" s="79"/>
      <c r="J70" s="252"/>
      <c r="K70" s="68"/>
      <c r="L70" s="99"/>
      <c r="M70" s="79"/>
      <c r="N70" s="99"/>
      <c r="O70" s="80"/>
    </row>
    <row r="71" spans="1:15" ht="15.75" hidden="1" customHeight="1">
      <c r="A71" s="63">
        <v>58</v>
      </c>
      <c r="B71" s="64"/>
      <c r="C71" s="110"/>
      <c r="D71" s="78"/>
      <c r="E71" s="79"/>
      <c r="F71" s="79"/>
      <c r="G71" s="79"/>
      <c r="H71" s="79"/>
      <c r="I71" s="79"/>
      <c r="J71" s="252"/>
      <c r="K71" s="68"/>
      <c r="L71" s="99"/>
      <c r="M71" s="79"/>
      <c r="N71" s="99"/>
      <c r="O71" s="80"/>
    </row>
    <row r="72" spans="1:15" ht="15.75" hidden="1" customHeight="1">
      <c r="A72" s="63">
        <v>59</v>
      </c>
      <c r="B72" s="64"/>
      <c r="C72" s="110"/>
      <c r="D72" s="78"/>
      <c r="E72" s="79"/>
      <c r="F72" s="79"/>
      <c r="G72" s="79"/>
      <c r="H72" s="79"/>
      <c r="I72" s="79"/>
      <c r="J72" s="252"/>
      <c r="K72" s="68"/>
      <c r="L72" s="99"/>
      <c r="M72" s="79"/>
      <c r="N72" s="99"/>
      <c r="O72" s="80"/>
    </row>
    <row r="73" spans="1:15" ht="15" customHeight="1">
      <c r="J73" s="253"/>
    </row>
    <row r="74" spans="1:15" ht="15" customHeight="1">
      <c r="J74" s="253"/>
    </row>
    <row r="75" spans="1:15" ht="15" customHeight="1">
      <c r="J75" s="253"/>
    </row>
    <row r="76" spans="1:15" ht="15" customHeight="1">
      <c r="J76" s="253"/>
    </row>
    <row r="77" spans="1:15" ht="15" customHeight="1">
      <c r="J77" s="253"/>
    </row>
    <row r="78" spans="1:15" ht="15" customHeight="1">
      <c r="J78" s="253"/>
    </row>
    <row r="79" spans="1:15" ht="15" customHeight="1">
      <c r="J79" s="253"/>
    </row>
    <row r="80" spans="1:15" ht="15" customHeight="1">
      <c r="J80" s="253"/>
    </row>
    <row r="81" spans="10:10" ht="15" customHeight="1">
      <c r="J81" s="253"/>
    </row>
    <row r="82" spans="10:10" ht="15" customHeight="1">
      <c r="J82" s="253"/>
    </row>
    <row r="83" spans="10:10" ht="15" customHeight="1">
      <c r="J83" s="253"/>
    </row>
    <row r="84" spans="10:10" ht="15" customHeight="1">
      <c r="J84" s="253"/>
    </row>
    <row r="85" spans="10:10" ht="15" customHeight="1">
      <c r="J85" s="253"/>
    </row>
    <row r="86" spans="10:10" ht="15" customHeight="1">
      <c r="J86" s="253"/>
    </row>
    <row r="87" spans="10:10" ht="15" customHeight="1">
      <c r="J87" s="253"/>
    </row>
    <row r="88" spans="10:10" ht="15" customHeight="1">
      <c r="J88" s="253"/>
    </row>
    <row r="89" spans="10:10" ht="15" customHeight="1">
      <c r="J89" s="253"/>
    </row>
    <row r="90" spans="10:10" ht="15" customHeight="1">
      <c r="J90" s="253"/>
    </row>
    <row r="91" spans="10:10" ht="15" customHeight="1">
      <c r="J91" s="253"/>
    </row>
    <row r="92" spans="10:10" ht="15" customHeight="1">
      <c r="J92" s="253"/>
    </row>
    <row r="93" spans="10:10" ht="15" customHeight="1">
      <c r="J93" s="253"/>
    </row>
    <row r="94" spans="10:10" ht="15" customHeight="1">
      <c r="J94" s="253"/>
    </row>
    <row r="95" spans="10:10" ht="15" customHeight="1">
      <c r="J95" s="253"/>
    </row>
    <row r="96" spans="10:10" ht="15" customHeight="1">
      <c r="J96" s="253"/>
    </row>
    <row r="97" spans="10:10" ht="15" customHeight="1">
      <c r="J97" s="253"/>
    </row>
    <row r="98" spans="10:10" ht="15" customHeight="1">
      <c r="J98" s="253"/>
    </row>
    <row r="99" spans="10:10" ht="15" customHeight="1">
      <c r="J99" s="253"/>
    </row>
    <row r="100" spans="10:10" ht="15" customHeight="1">
      <c r="J100" s="253"/>
    </row>
    <row r="101" spans="10:10" ht="15" customHeight="1">
      <c r="J101" s="253"/>
    </row>
    <row r="102" spans="10:10" ht="15" customHeight="1">
      <c r="J102" s="253"/>
    </row>
    <row r="103" spans="10:10" ht="15" customHeight="1">
      <c r="J103" s="253"/>
    </row>
    <row r="104" spans="10:10" ht="15" customHeight="1">
      <c r="J104" s="253"/>
    </row>
    <row r="105" spans="10:10" ht="15" customHeight="1">
      <c r="J105" s="253"/>
    </row>
    <row r="106" spans="10:10" ht="15" customHeight="1">
      <c r="J106" s="253"/>
    </row>
    <row r="107" spans="10:10" ht="15" customHeight="1">
      <c r="J107" s="253"/>
    </row>
    <row r="108" spans="10:10" ht="15" customHeight="1">
      <c r="J108" s="253"/>
    </row>
    <row r="109" spans="10:10" ht="15" customHeight="1">
      <c r="J109" s="253"/>
    </row>
    <row r="110" spans="10:10" ht="15" customHeight="1">
      <c r="J110" s="253"/>
    </row>
    <row r="111" spans="10:10" ht="15" customHeight="1">
      <c r="J111" s="253"/>
    </row>
    <row r="112" spans="10:10" ht="15" customHeight="1">
      <c r="J112" s="253"/>
    </row>
    <row r="113" spans="10:10" ht="15" customHeight="1">
      <c r="J113" s="253"/>
    </row>
    <row r="114" spans="10:10" ht="15" customHeight="1">
      <c r="J114" s="253"/>
    </row>
    <row r="115" spans="10:10" ht="15" customHeight="1">
      <c r="J115" s="253"/>
    </row>
    <row r="116" spans="10:10" ht="15" customHeight="1">
      <c r="J116" s="253"/>
    </row>
    <row r="117" spans="10:10" ht="15" customHeight="1">
      <c r="J117" s="253"/>
    </row>
    <row r="118" spans="10:10" ht="15" customHeight="1">
      <c r="J118" s="253"/>
    </row>
    <row r="119" spans="10:10" ht="15" customHeight="1">
      <c r="J119" s="253"/>
    </row>
    <row r="120" spans="10:10" ht="15" customHeight="1">
      <c r="J120" s="253"/>
    </row>
    <row r="121" spans="10:10" ht="15" customHeight="1">
      <c r="J121" s="253"/>
    </row>
    <row r="122" spans="10:10" ht="15" customHeight="1">
      <c r="J122" s="253"/>
    </row>
    <row r="123" spans="10:10" ht="15" customHeight="1">
      <c r="J123" s="253"/>
    </row>
    <row r="124" spans="10:10" ht="15" customHeight="1">
      <c r="J124" s="253"/>
    </row>
    <row r="125" spans="10:10" ht="15" customHeight="1">
      <c r="J125" s="253"/>
    </row>
    <row r="126" spans="10:10" ht="15" customHeight="1">
      <c r="J126" s="253"/>
    </row>
    <row r="127" spans="10:10" ht="15" customHeight="1">
      <c r="J127" s="253"/>
    </row>
    <row r="128" spans="10:10" ht="15" customHeight="1">
      <c r="J128" s="253"/>
    </row>
    <row r="129" spans="10:10" ht="15" customHeight="1">
      <c r="J129" s="253"/>
    </row>
    <row r="130" spans="10:10" ht="15" customHeight="1">
      <c r="J130" s="253"/>
    </row>
    <row r="131" spans="10:10" ht="15" customHeight="1">
      <c r="J131" s="253"/>
    </row>
    <row r="132" spans="10:10" ht="15" customHeight="1">
      <c r="J132" s="253"/>
    </row>
    <row r="133" spans="10:10" ht="15" customHeight="1">
      <c r="J133" s="253"/>
    </row>
    <row r="134" spans="10:10" ht="15" customHeight="1">
      <c r="J134" s="253"/>
    </row>
    <row r="135" spans="10:10" ht="15" customHeight="1">
      <c r="J135" s="253"/>
    </row>
    <row r="136" spans="10:10" ht="15" customHeight="1">
      <c r="J136" s="253"/>
    </row>
    <row r="137" spans="10:10" ht="15" customHeight="1">
      <c r="J137" s="253"/>
    </row>
    <row r="138" spans="10:10" ht="15" customHeight="1">
      <c r="J138" s="253"/>
    </row>
    <row r="139" spans="10:10" ht="15" customHeight="1">
      <c r="J139" s="253"/>
    </row>
    <row r="140" spans="10:10" ht="15" customHeight="1">
      <c r="J140" s="253"/>
    </row>
    <row r="141" spans="10:10" ht="15" customHeight="1">
      <c r="J141" s="253"/>
    </row>
    <row r="142" spans="10:10" ht="15" customHeight="1">
      <c r="J142" s="253"/>
    </row>
    <row r="143" spans="10:10" ht="15" customHeight="1">
      <c r="J143" s="253"/>
    </row>
    <row r="144" spans="10:10" ht="15" customHeight="1">
      <c r="J144" s="253"/>
    </row>
    <row r="145" spans="10:10" ht="15" customHeight="1">
      <c r="J145" s="253"/>
    </row>
    <row r="146" spans="10:10" ht="15" customHeight="1">
      <c r="J146" s="253"/>
    </row>
    <row r="147" spans="10:10" ht="15" customHeight="1">
      <c r="J147" s="253"/>
    </row>
    <row r="148" spans="10:10" ht="15" customHeight="1">
      <c r="J148" s="253"/>
    </row>
    <row r="149" spans="10:10" ht="15" customHeight="1">
      <c r="J149" s="253"/>
    </row>
    <row r="150" spans="10:10" ht="15" customHeight="1">
      <c r="J150" s="253"/>
    </row>
    <row r="151" spans="10:10" ht="15" customHeight="1">
      <c r="J151" s="253"/>
    </row>
    <row r="152" spans="10:10" ht="15" customHeight="1">
      <c r="J152" s="253"/>
    </row>
    <row r="153" spans="10:10" ht="15" customHeight="1">
      <c r="J153" s="253"/>
    </row>
    <row r="154" spans="10:10" ht="15" customHeight="1">
      <c r="J154" s="253"/>
    </row>
    <row r="155" spans="10:10" ht="15" customHeight="1">
      <c r="J155" s="253"/>
    </row>
    <row r="156" spans="10:10" ht="15" customHeight="1">
      <c r="J156" s="253"/>
    </row>
    <row r="157" spans="10:10" ht="15" customHeight="1">
      <c r="J157" s="253"/>
    </row>
    <row r="158" spans="10:10" ht="15" customHeight="1">
      <c r="J158" s="253"/>
    </row>
    <row r="159" spans="10:10" ht="15" customHeight="1">
      <c r="J159" s="253"/>
    </row>
    <row r="160" spans="10:10" ht="15" customHeight="1">
      <c r="J160" s="253"/>
    </row>
    <row r="161" spans="10:10" ht="15" customHeight="1">
      <c r="J161" s="253"/>
    </row>
    <row r="162" spans="10:10" ht="15" customHeight="1">
      <c r="J162" s="253"/>
    </row>
    <row r="163" spans="10:10" ht="15" customHeight="1">
      <c r="J163" s="253"/>
    </row>
    <row r="164" spans="10:10" ht="15" customHeight="1">
      <c r="J164" s="253"/>
    </row>
    <row r="165" spans="10:10" ht="15" customHeight="1">
      <c r="J165" s="253"/>
    </row>
    <row r="166" spans="10:10" ht="15" customHeight="1">
      <c r="J166" s="253"/>
    </row>
    <row r="167" spans="10:10" ht="15" customHeight="1">
      <c r="J167" s="253"/>
    </row>
    <row r="168" spans="10:10" ht="15" customHeight="1">
      <c r="J168" s="253"/>
    </row>
    <row r="169" spans="10:10" ht="15" customHeight="1">
      <c r="J169" s="253"/>
    </row>
    <row r="170" spans="10:10" ht="15" customHeight="1">
      <c r="J170" s="253"/>
    </row>
    <row r="171" spans="10:10" ht="15" customHeight="1">
      <c r="J171" s="253"/>
    </row>
    <row r="172" spans="10:10" ht="15" customHeight="1">
      <c r="J172" s="253"/>
    </row>
    <row r="173" spans="10:10" ht="15" customHeight="1">
      <c r="J173" s="253"/>
    </row>
    <row r="174" spans="10:10" ht="15" customHeight="1">
      <c r="J174" s="253"/>
    </row>
    <row r="175" spans="10:10" ht="15" customHeight="1">
      <c r="J175" s="253"/>
    </row>
    <row r="176" spans="10:10" ht="15" customHeight="1">
      <c r="J176" s="253"/>
    </row>
    <row r="177" spans="10:10" ht="15" customHeight="1">
      <c r="J177" s="253"/>
    </row>
    <row r="178" spans="10:10" ht="15" customHeight="1">
      <c r="J178" s="253"/>
    </row>
    <row r="179" spans="10:10" ht="15" customHeight="1">
      <c r="J179" s="253"/>
    </row>
    <row r="180" spans="10:10" ht="15" customHeight="1">
      <c r="J180" s="253"/>
    </row>
    <row r="181" spans="10:10" ht="15" customHeight="1">
      <c r="J181" s="253"/>
    </row>
    <row r="182" spans="10:10" ht="15" customHeight="1">
      <c r="J182" s="253"/>
    </row>
    <row r="183" spans="10:10" ht="15" customHeight="1">
      <c r="J183" s="253"/>
    </row>
    <row r="184" spans="10:10" ht="15" customHeight="1">
      <c r="J184" s="253"/>
    </row>
    <row r="185" spans="10:10" ht="15" customHeight="1">
      <c r="J185" s="253"/>
    </row>
  </sheetData>
  <conditionalFormatting sqref="M2:M42">
    <cfRule type="cellIs" dxfId="43" priority="1" operator="equal">
      <formula>"In Process"</formula>
    </cfRule>
    <cfRule type="cellIs" dxfId="42" priority="2" operator="equal">
      <formula>"Not Received"</formula>
    </cfRule>
    <cfRule type="cellIs" dxfId="41" priority="3" operator="equal">
      <formula>"Paid By Client"</formula>
    </cfRule>
    <cfRule type="cellIs" dxfId="40" priority="4" operator="equal">
      <formula>"Payment Received"</formula>
    </cfRule>
  </conditionalFormatting>
  <dataValidations count="1">
    <dataValidation type="list" allowBlank="1" showInputMessage="1" showErrorMessage="1" sqref="D2:D39" xr:uid="{00000000-0002-0000-0900-000000000000}">
      <formula1>client</formula1>
    </dataValidation>
  </dataValidations>
  <hyperlinks>
    <hyperlink ref="G2" r:id="rId1" xr:uid="{00000000-0004-0000-0900-000000000000}"/>
    <hyperlink ref="K2" r:id="rId2" xr:uid="{00000000-0004-0000-0900-000001000000}"/>
    <hyperlink ref="K4" r:id="rId3" xr:uid="{00000000-0004-0000-0900-000002000000}"/>
    <hyperlink ref="N5" r:id="rId4" xr:uid="{00000000-0004-0000-0900-000003000000}"/>
    <hyperlink ref="N8" r:id="rId5" xr:uid="{00000000-0004-0000-0900-000004000000}"/>
    <hyperlink ref="N4" r:id="rId6" xr:uid="{00000000-0004-0000-0900-000005000000}"/>
    <hyperlink ref="N7" r:id="rId7" xr:uid="{00000000-0004-0000-0900-000006000000}"/>
  </hyperlinks>
  <pageMargins left="0.7" right="0.7" top="0.75" bottom="0.75" header="0" footer="0"/>
  <pageSetup scale="84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5"/>
  <sheetViews>
    <sheetView topLeftCell="F1" workbookViewId="0">
      <pane ySplit="1" topLeftCell="A2" activePane="bottomLeft" state="frozen"/>
      <selection pane="bottomLeft" activeCell="V18" sqref="V18"/>
      <selection activeCell="V18" sqref="V18"/>
    </sheetView>
  </sheetViews>
  <sheetFormatPr defaultColWidth="14.42578125" defaultRowHeight="15" customHeight="1"/>
  <cols>
    <col min="1" max="1" width="8.7109375" customWidth="1"/>
    <col min="2" max="2" width="19" customWidth="1"/>
    <col min="3" max="3" width="19.7109375" customWidth="1"/>
    <col min="4" max="4" width="28.140625" customWidth="1"/>
    <col min="5" max="5" width="45.85546875" customWidth="1"/>
    <col min="6" max="6" width="24.7109375" customWidth="1"/>
    <col min="7" max="7" width="23" customWidth="1"/>
    <col min="8" max="8" width="26.140625" bestFit="1" customWidth="1"/>
    <col min="9" max="9" width="17.28515625" customWidth="1"/>
    <col min="10" max="10" width="20.85546875" customWidth="1"/>
    <col min="11" max="12" width="22.7109375" customWidth="1"/>
    <col min="13" max="13" width="21.42578125" customWidth="1"/>
    <col min="14" max="14" width="22.7109375" customWidth="1"/>
    <col min="15" max="15" width="85.28515625" customWidth="1"/>
  </cols>
  <sheetData>
    <row r="1" spans="1:28" ht="33" customHeight="1">
      <c r="A1" s="146" t="s">
        <v>15</v>
      </c>
      <c r="B1" s="149" t="s">
        <v>219</v>
      </c>
      <c r="C1" s="149" t="s">
        <v>220</v>
      </c>
      <c r="D1" s="147" t="s">
        <v>221</v>
      </c>
      <c r="E1" s="147" t="s">
        <v>222</v>
      </c>
      <c r="F1" s="147" t="s">
        <v>223</v>
      </c>
      <c r="G1" s="147" t="s">
        <v>224</v>
      </c>
      <c r="H1" s="147" t="s">
        <v>225</v>
      </c>
      <c r="I1" s="147" t="s">
        <v>226</v>
      </c>
      <c r="J1" s="149" t="s">
        <v>330</v>
      </c>
      <c r="K1" s="146" t="s">
        <v>227</v>
      </c>
      <c r="L1" s="148" t="s">
        <v>228</v>
      </c>
      <c r="M1" s="149" t="s">
        <v>229</v>
      </c>
      <c r="N1" s="148" t="s">
        <v>230</v>
      </c>
      <c r="O1" s="146" t="s">
        <v>18</v>
      </c>
    </row>
    <row r="2" spans="1:28" ht="15.75">
      <c r="A2" s="5">
        <v>1</v>
      </c>
      <c r="B2" s="128">
        <v>45022</v>
      </c>
      <c r="C2" s="139"/>
      <c r="D2" s="257" t="s">
        <v>231</v>
      </c>
      <c r="E2" s="131" t="s">
        <v>404</v>
      </c>
      <c r="F2" s="156">
        <v>6320977250</v>
      </c>
      <c r="G2" s="210" t="s">
        <v>261</v>
      </c>
      <c r="H2" s="133"/>
      <c r="I2" s="133"/>
      <c r="J2" s="150"/>
      <c r="K2" s="224">
        <v>6500</v>
      </c>
      <c r="L2" s="150"/>
      <c r="M2" s="234"/>
      <c r="N2" s="208"/>
      <c r="O2" s="238" t="s">
        <v>405</v>
      </c>
      <c r="AB2" s="130" t="s">
        <v>234</v>
      </c>
    </row>
    <row r="3" spans="1:28" ht="15.75">
      <c r="A3" s="9">
        <v>2</v>
      </c>
      <c r="B3" s="259"/>
      <c r="C3" s="260"/>
      <c r="D3" s="261" t="s">
        <v>352</v>
      </c>
      <c r="E3" s="262" t="s">
        <v>406</v>
      </c>
      <c r="F3" s="263">
        <v>1758949522</v>
      </c>
      <c r="G3" s="264" t="s">
        <v>261</v>
      </c>
      <c r="H3" s="265"/>
      <c r="I3" s="265"/>
      <c r="J3" s="266"/>
      <c r="K3" s="267">
        <v>880</v>
      </c>
      <c r="L3" s="266"/>
      <c r="M3" s="268"/>
      <c r="N3" s="269"/>
      <c r="O3" s="270" t="s">
        <v>407</v>
      </c>
    </row>
    <row r="4" spans="1:28" ht="15.75">
      <c r="A4" s="9">
        <v>3</v>
      </c>
      <c r="B4" s="128">
        <v>45026</v>
      </c>
      <c r="C4" s="139"/>
      <c r="D4" s="257" t="s">
        <v>234</v>
      </c>
      <c r="E4" s="241" t="s">
        <v>408</v>
      </c>
      <c r="F4" s="156" t="s">
        <v>409</v>
      </c>
      <c r="G4" s="210" t="s">
        <v>248</v>
      </c>
      <c r="H4" s="133"/>
      <c r="I4" s="133"/>
      <c r="J4" s="150"/>
      <c r="K4" s="224">
        <v>9500</v>
      </c>
      <c r="L4" s="150">
        <v>872</v>
      </c>
      <c r="M4" s="137" t="s">
        <v>410</v>
      </c>
      <c r="N4" s="208" t="s">
        <v>385</v>
      </c>
      <c r="O4" s="238" t="s">
        <v>411</v>
      </c>
    </row>
    <row r="5" spans="1:28" ht="15.75">
      <c r="A5" s="9">
        <v>4</v>
      </c>
      <c r="B5" s="128">
        <v>45033</v>
      </c>
      <c r="C5" s="129"/>
      <c r="D5" s="257" t="s">
        <v>321</v>
      </c>
      <c r="E5" s="131" t="s">
        <v>335</v>
      </c>
      <c r="F5" s="197">
        <v>389462720</v>
      </c>
      <c r="G5" s="132" t="s">
        <v>336</v>
      </c>
      <c r="H5" s="133"/>
      <c r="I5" s="133"/>
      <c r="J5" s="150"/>
      <c r="K5" s="124">
        <v>1000</v>
      </c>
      <c r="L5" s="150"/>
      <c r="M5" s="137"/>
      <c r="N5" s="208"/>
      <c r="O5" s="238" t="s">
        <v>412</v>
      </c>
    </row>
    <row r="6" spans="1:28" ht="15.75">
      <c r="A6" s="195">
        <v>5</v>
      </c>
      <c r="B6" s="128">
        <v>45034</v>
      </c>
      <c r="C6" s="129"/>
      <c r="D6" s="257" t="s">
        <v>352</v>
      </c>
      <c r="E6" s="131" t="s">
        <v>413</v>
      </c>
      <c r="F6" s="197">
        <v>3677696492</v>
      </c>
      <c r="G6" s="198" t="s">
        <v>261</v>
      </c>
      <c r="H6" s="133"/>
      <c r="I6" s="133"/>
      <c r="J6" s="150"/>
      <c r="K6" s="224">
        <v>1374</v>
      </c>
      <c r="L6" s="150"/>
      <c r="M6" s="137"/>
      <c r="N6" s="200" t="s">
        <v>385</v>
      </c>
      <c r="O6" s="239" t="s">
        <v>412</v>
      </c>
    </row>
    <row r="7" spans="1:28" ht="15.75">
      <c r="A7" s="9">
        <v>6</v>
      </c>
      <c r="B7" s="136">
        <v>45063</v>
      </c>
      <c r="C7" s="139"/>
      <c r="D7" s="257" t="s">
        <v>414</v>
      </c>
      <c r="E7" s="131" t="s">
        <v>415</v>
      </c>
      <c r="F7" s="157">
        <v>397047139149</v>
      </c>
      <c r="G7" s="154" t="s">
        <v>233</v>
      </c>
      <c r="H7" s="133"/>
      <c r="I7" s="137"/>
      <c r="J7" s="150"/>
      <c r="K7" s="224">
        <f>45329+15036</f>
        <v>60365</v>
      </c>
      <c r="L7" s="150"/>
      <c r="M7" s="137" t="s">
        <v>410</v>
      </c>
      <c r="N7" s="208"/>
      <c r="O7" s="239" t="s">
        <v>416</v>
      </c>
    </row>
    <row r="8" spans="1:28" ht="15.75">
      <c r="A8" s="195">
        <v>7</v>
      </c>
      <c r="B8" s="136">
        <v>45042</v>
      </c>
      <c r="C8" s="139"/>
      <c r="D8" s="130" t="s">
        <v>339</v>
      </c>
      <c r="E8" s="131" t="s">
        <v>417</v>
      </c>
      <c r="F8" s="157">
        <v>397319168121</v>
      </c>
      <c r="G8" s="210" t="s">
        <v>233</v>
      </c>
      <c r="H8" s="154"/>
      <c r="I8" s="137"/>
      <c r="J8" s="242"/>
      <c r="K8" s="224">
        <v>1100</v>
      </c>
      <c r="L8" s="150"/>
      <c r="M8" s="137"/>
      <c r="N8" s="208" t="s">
        <v>385</v>
      </c>
      <c r="O8" s="239" t="s">
        <v>412</v>
      </c>
    </row>
    <row r="9" spans="1:28" ht="15.75">
      <c r="A9" s="9">
        <v>8</v>
      </c>
      <c r="B9" s="136">
        <v>45043</v>
      </c>
      <c r="C9" s="139"/>
      <c r="D9" s="130" t="s">
        <v>414</v>
      </c>
      <c r="E9" s="131" t="s">
        <v>418</v>
      </c>
      <c r="F9" s="157" t="s">
        <v>419</v>
      </c>
      <c r="G9" s="210" t="s">
        <v>248</v>
      </c>
      <c r="H9" s="154"/>
      <c r="I9" s="137"/>
      <c r="J9" s="242"/>
      <c r="K9" s="224">
        <v>8300</v>
      </c>
      <c r="L9" s="150"/>
      <c r="M9" s="137" t="s">
        <v>410</v>
      </c>
      <c r="N9" s="161"/>
      <c r="O9" s="239" t="s">
        <v>416</v>
      </c>
    </row>
    <row r="10" spans="1:28" ht="15.75">
      <c r="A10" s="195">
        <v>9</v>
      </c>
      <c r="B10" s="136"/>
      <c r="C10" s="139">
        <v>45048</v>
      </c>
      <c r="D10" s="130" t="s">
        <v>420</v>
      </c>
      <c r="E10" s="131" t="s">
        <v>421</v>
      </c>
      <c r="F10" s="157" t="s">
        <v>422</v>
      </c>
      <c r="G10" s="137" t="s">
        <v>295</v>
      </c>
      <c r="H10" s="154"/>
      <c r="I10" s="137"/>
      <c r="J10" s="242"/>
      <c r="K10" s="224">
        <v>19700</v>
      </c>
      <c r="L10" s="258">
        <v>90</v>
      </c>
      <c r="M10" s="137" t="s">
        <v>410</v>
      </c>
      <c r="N10" s="208" t="s">
        <v>385</v>
      </c>
      <c r="O10" s="239" t="s">
        <v>412</v>
      </c>
    </row>
    <row r="11" spans="1:28" ht="15.75">
      <c r="A11" s="9">
        <v>10</v>
      </c>
      <c r="B11" s="136"/>
      <c r="C11" s="139"/>
      <c r="D11" s="130"/>
      <c r="E11" s="131"/>
      <c r="F11" s="157"/>
      <c r="G11" s="137"/>
      <c r="H11" s="154"/>
      <c r="I11" s="137"/>
      <c r="J11" s="242"/>
      <c r="K11" s="224"/>
      <c r="L11" s="150"/>
      <c r="M11" s="137"/>
      <c r="N11" s="208"/>
      <c r="O11" s="239"/>
    </row>
    <row r="12" spans="1:28" ht="15.75">
      <c r="A12" s="195">
        <v>11</v>
      </c>
      <c r="B12" s="136"/>
      <c r="C12" s="139"/>
      <c r="D12" s="130"/>
      <c r="E12" s="131"/>
      <c r="F12" s="157"/>
      <c r="G12" s="137"/>
      <c r="H12" s="154"/>
      <c r="I12" s="137"/>
      <c r="J12" s="242"/>
      <c r="K12" s="224"/>
      <c r="L12" s="151"/>
      <c r="M12" s="137"/>
      <c r="N12" s="208"/>
      <c r="O12" s="138"/>
    </row>
    <row r="13" spans="1:28" ht="15.75">
      <c r="A13" s="9">
        <v>12</v>
      </c>
      <c r="B13" s="136"/>
      <c r="C13" s="139"/>
      <c r="D13" s="130"/>
      <c r="E13" s="142"/>
      <c r="F13" s="157"/>
      <c r="G13" s="137"/>
      <c r="H13" s="154"/>
      <c r="I13" s="137"/>
      <c r="J13" s="242"/>
      <c r="K13" s="224"/>
      <c r="L13" s="151"/>
      <c r="M13" s="137"/>
      <c r="N13" s="208"/>
      <c r="O13" s="138"/>
    </row>
    <row r="14" spans="1:28" ht="15.75">
      <c r="A14" s="195">
        <v>13</v>
      </c>
      <c r="B14" s="136"/>
      <c r="C14" s="139"/>
      <c r="D14" s="130"/>
      <c r="E14" s="142"/>
      <c r="F14" s="157"/>
      <c r="G14" s="137"/>
      <c r="H14" s="210"/>
      <c r="I14" s="137"/>
      <c r="J14" s="242"/>
      <c r="K14" s="124"/>
      <c r="L14" s="151"/>
      <c r="M14" s="137"/>
      <c r="N14" s="211"/>
      <c r="O14" s="138"/>
    </row>
    <row r="15" spans="1:28" ht="15.75">
      <c r="A15" s="9">
        <v>14</v>
      </c>
      <c r="B15" s="136"/>
      <c r="C15" s="139"/>
      <c r="D15" s="130"/>
      <c r="E15" s="142"/>
      <c r="F15" s="157"/>
      <c r="G15" s="137"/>
      <c r="H15" s="137"/>
      <c r="I15" s="137"/>
      <c r="J15" s="242"/>
      <c r="K15" s="224"/>
      <c r="L15" s="151"/>
      <c r="M15" s="137"/>
      <c r="N15" s="211"/>
      <c r="O15" s="138"/>
    </row>
    <row r="16" spans="1:28" ht="15.75">
      <c r="A16" s="195">
        <v>15</v>
      </c>
      <c r="B16" s="136"/>
      <c r="C16" s="139"/>
      <c r="D16" s="130"/>
      <c r="E16" s="142"/>
      <c r="F16" s="157"/>
      <c r="G16" s="137"/>
      <c r="H16" s="137"/>
      <c r="I16" s="137"/>
      <c r="J16" s="242"/>
      <c r="K16" s="124"/>
      <c r="L16" s="151"/>
      <c r="M16" s="137"/>
      <c r="N16" s="120"/>
      <c r="O16" s="138"/>
    </row>
    <row r="17" spans="1:15" ht="15.75">
      <c r="A17" s="9">
        <v>16</v>
      </c>
      <c r="B17" s="136"/>
      <c r="C17" s="139"/>
      <c r="D17" s="130"/>
      <c r="E17" s="142"/>
      <c r="F17" s="157"/>
      <c r="G17" s="137"/>
      <c r="H17" s="137"/>
      <c r="I17" s="137"/>
      <c r="J17" s="242"/>
      <c r="K17" s="124"/>
      <c r="L17" s="151"/>
      <c r="M17" s="137"/>
      <c r="N17" s="120"/>
      <c r="O17" s="138"/>
    </row>
    <row r="18" spans="1:15" ht="15.75">
      <c r="A18" s="195">
        <v>17</v>
      </c>
      <c r="B18" s="136"/>
      <c r="C18" s="139"/>
      <c r="D18" s="130"/>
      <c r="E18" s="141"/>
      <c r="F18" s="157"/>
      <c r="G18" s="137"/>
      <c r="H18" s="137"/>
      <c r="I18" s="137"/>
      <c r="J18" s="242"/>
      <c r="K18" s="124"/>
      <c r="L18" s="151"/>
      <c r="M18" s="137"/>
      <c r="N18" s="120"/>
      <c r="O18" s="143"/>
    </row>
    <row r="19" spans="1:15" ht="15.75" customHeight="1">
      <c r="A19" s="9">
        <v>18</v>
      </c>
      <c r="B19" s="136"/>
      <c r="C19" s="139"/>
      <c r="D19" s="130"/>
      <c r="E19" s="131"/>
      <c r="F19" s="157"/>
      <c r="G19" s="137"/>
      <c r="H19" s="137"/>
      <c r="I19" s="137"/>
      <c r="J19" s="242"/>
      <c r="K19" s="124"/>
      <c r="L19" s="151"/>
      <c r="M19" s="137"/>
      <c r="N19" s="120"/>
      <c r="O19" s="140"/>
    </row>
    <row r="20" spans="1:15" ht="15.75" customHeight="1">
      <c r="A20" s="195">
        <v>19</v>
      </c>
      <c r="B20" s="136"/>
      <c r="C20" s="139"/>
      <c r="D20" s="130"/>
      <c r="E20" s="131"/>
      <c r="F20" s="157"/>
      <c r="G20" s="137"/>
      <c r="H20" s="137"/>
      <c r="I20" s="137"/>
      <c r="J20" s="242"/>
      <c r="K20" s="124"/>
      <c r="L20" s="151"/>
      <c r="M20" s="137"/>
      <c r="N20" s="120"/>
      <c r="O20" s="140"/>
    </row>
    <row r="21" spans="1:15" ht="15.75" customHeight="1">
      <c r="A21" s="9">
        <v>20</v>
      </c>
      <c r="B21" s="136"/>
      <c r="C21" s="139"/>
      <c r="D21" s="130"/>
      <c r="E21" s="131"/>
      <c r="F21" s="157"/>
      <c r="G21" s="137"/>
      <c r="H21" s="137"/>
      <c r="I21" s="137"/>
      <c r="J21" s="242"/>
      <c r="K21" s="126"/>
      <c r="L21" s="151"/>
      <c r="M21" s="137"/>
      <c r="N21" s="120"/>
      <c r="O21" s="143"/>
    </row>
    <row r="22" spans="1:15" ht="15.75" customHeight="1">
      <c r="A22" s="195">
        <v>21</v>
      </c>
      <c r="B22" s="136"/>
      <c r="C22" s="139"/>
      <c r="D22" s="130"/>
      <c r="E22" s="131"/>
      <c r="F22" s="157"/>
      <c r="G22" s="137"/>
      <c r="H22" s="137"/>
      <c r="I22" s="137"/>
      <c r="J22" s="242"/>
      <c r="K22" s="127"/>
      <c r="L22" s="151"/>
      <c r="M22" s="137"/>
      <c r="N22" s="120"/>
      <c r="O22" s="140"/>
    </row>
    <row r="23" spans="1:15" ht="15.75" customHeight="1">
      <c r="A23" s="9">
        <v>22</v>
      </c>
      <c r="B23" s="136"/>
      <c r="C23" s="139"/>
      <c r="D23" s="130"/>
      <c r="E23" s="131"/>
      <c r="F23" s="157"/>
      <c r="G23" s="137"/>
      <c r="H23" s="137"/>
      <c r="I23" s="137"/>
      <c r="J23" s="242"/>
      <c r="K23" s="127"/>
      <c r="L23" s="151"/>
      <c r="M23" s="144"/>
      <c r="N23" s="120"/>
      <c r="O23" s="140"/>
    </row>
    <row r="24" spans="1:15" ht="15.75" customHeight="1">
      <c r="A24" s="195">
        <v>23</v>
      </c>
      <c r="B24" s="136"/>
      <c r="C24" s="139"/>
      <c r="D24" s="130"/>
      <c r="E24" s="142"/>
      <c r="F24" s="157"/>
      <c r="G24" s="137"/>
      <c r="H24" s="137"/>
      <c r="I24" s="137"/>
      <c r="J24" s="242"/>
      <c r="K24" s="127"/>
      <c r="L24" s="151"/>
      <c r="M24" s="144"/>
      <c r="N24" s="120"/>
      <c r="O24" s="140"/>
    </row>
    <row r="25" spans="1:15" ht="15.75" customHeight="1">
      <c r="A25" s="9"/>
      <c r="B25" s="136"/>
      <c r="C25" s="139"/>
      <c r="D25" s="130"/>
      <c r="E25" s="142"/>
      <c r="F25" s="157"/>
      <c r="G25" s="137"/>
      <c r="H25" s="137"/>
      <c r="I25" s="137"/>
      <c r="J25" s="242"/>
      <c r="K25" s="127"/>
      <c r="L25" s="151"/>
      <c r="M25" s="144"/>
      <c r="N25" s="120"/>
      <c r="O25" s="140"/>
    </row>
    <row r="26" spans="1:15" ht="15.75" customHeight="1">
      <c r="A26" s="9"/>
      <c r="B26" s="136"/>
      <c r="C26" s="139"/>
      <c r="D26" s="130"/>
      <c r="E26" s="142"/>
      <c r="F26" s="157"/>
      <c r="G26" s="137"/>
      <c r="H26" s="137"/>
      <c r="I26" s="137"/>
      <c r="J26" s="242"/>
      <c r="K26" s="127"/>
      <c r="L26" s="151"/>
      <c r="M26" s="144"/>
      <c r="N26" s="120"/>
      <c r="O26" s="140"/>
    </row>
    <row r="27" spans="1:15" ht="15.75" customHeight="1">
      <c r="A27" s="9"/>
      <c r="B27" s="136"/>
      <c r="C27" s="139"/>
      <c r="D27" s="130"/>
      <c r="E27" s="141"/>
      <c r="F27" s="158"/>
      <c r="G27" s="145"/>
      <c r="H27" s="145"/>
      <c r="I27" s="145"/>
      <c r="J27" s="243"/>
      <c r="K27" s="127"/>
      <c r="L27" s="151"/>
      <c r="M27" s="144"/>
      <c r="N27" s="118"/>
      <c r="O27" s="140"/>
    </row>
    <row r="28" spans="1:15" ht="15.75" customHeight="1">
      <c r="A28" s="9"/>
      <c r="B28" s="136"/>
      <c r="C28" s="139"/>
      <c r="D28" s="130"/>
      <c r="E28" s="141"/>
      <c r="F28" s="158"/>
      <c r="G28" s="145"/>
      <c r="H28" s="145"/>
      <c r="I28" s="145"/>
      <c r="J28" s="243"/>
      <c r="K28" s="127"/>
      <c r="L28" s="151"/>
      <c r="M28" s="137"/>
      <c r="N28" s="118"/>
      <c r="O28" s="140"/>
    </row>
    <row r="29" spans="1:15" ht="15.75" customHeight="1">
      <c r="A29" s="63"/>
      <c r="B29" s="83"/>
      <c r="C29" s="84"/>
      <c r="D29" s="58"/>
      <c r="E29" s="82"/>
      <c r="F29" s="159"/>
      <c r="G29" s="59"/>
      <c r="H29" s="59"/>
      <c r="I29" s="59"/>
      <c r="J29" s="244"/>
      <c r="K29" s="68"/>
      <c r="L29" s="152"/>
      <c r="M29" s="59"/>
      <c r="N29" s="118"/>
      <c r="O29" s="69"/>
    </row>
    <row r="30" spans="1:15" ht="15.75" customHeight="1">
      <c r="A30" s="63"/>
      <c r="B30" s="83"/>
      <c r="C30" s="84"/>
      <c r="D30" s="58"/>
      <c r="E30" s="82"/>
      <c r="F30" s="159"/>
      <c r="G30" s="59"/>
      <c r="H30" s="59"/>
      <c r="I30" s="59"/>
      <c r="J30" s="244"/>
      <c r="K30" s="68"/>
      <c r="L30" s="118"/>
      <c r="M30" s="59"/>
      <c r="N30" s="118"/>
      <c r="O30" s="69"/>
    </row>
    <row r="31" spans="1:15" ht="15.75" customHeight="1">
      <c r="A31" s="63"/>
      <c r="B31" s="83"/>
      <c r="C31" s="84"/>
      <c r="D31" s="58"/>
      <c r="E31" s="86"/>
      <c r="F31" s="159"/>
      <c r="G31" s="59"/>
      <c r="H31" s="59"/>
      <c r="I31" s="59"/>
      <c r="J31" s="244"/>
      <c r="K31" s="68"/>
      <c r="L31" s="118"/>
      <c r="M31" s="59"/>
      <c r="N31" s="118"/>
      <c r="O31" s="69"/>
    </row>
    <row r="32" spans="1:15" ht="15.75" customHeight="1">
      <c r="A32" s="63"/>
      <c r="B32" s="83"/>
      <c r="C32" s="84"/>
      <c r="D32" s="58"/>
      <c r="E32" s="85"/>
      <c r="F32" s="159"/>
      <c r="G32" s="59"/>
      <c r="H32" s="59"/>
      <c r="I32" s="59"/>
      <c r="J32" s="244"/>
      <c r="K32" s="68"/>
      <c r="L32" s="118"/>
      <c r="M32" s="59"/>
      <c r="N32" s="118"/>
      <c r="O32" s="69"/>
    </row>
    <row r="33" spans="1:15" ht="15.75" customHeight="1">
      <c r="A33" s="63"/>
      <c r="B33" s="83"/>
      <c r="C33" s="84"/>
      <c r="D33" s="58"/>
      <c r="E33" s="85"/>
      <c r="F33" s="87"/>
      <c r="G33" s="87"/>
      <c r="H33" s="87"/>
      <c r="I33" s="87"/>
      <c r="J33" s="245"/>
      <c r="K33" s="68"/>
      <c r="L33" s="118"/>
      <c r="M33" s="59"/>
      <c r="N33" s="160"/>
    </row>
    <row r="34" spans="1:15" ht="15.75" customHeight="1">
      <c r="A34" s="63"/>
      <c r="B34" s="83"/>
      <c r="C34" s="84"/>
      <c r="D34" s="58"/>
      <c r="E34" s="82"/>
      <c r="F34" s="59"/>
      <c r="G34" s="59"/>
      <c r="H34" s="59"/>
      <c r="I34" s="59"/>
      <c r="J34" s="244"/>
      <c r="K34" s="68"/>
      <c r="L34" s="118"/>
      <c r="M34" s="59"/>
      <c r="N34" s="118"/>
      <c r="O34" s="62"/>
    </row>
    <row r="35" spans="1:15" ht="15.75" customHeight="1">
      <c r="A35" s="63"/>
      <c r="B35" s="83"/>
      <c r="C35" s="84"/>
      <c r="D35" s="58"/>
      <c r="E35" s="82"/>
      <c r="F35" s="59"/>
      <c r="G35" s="59"/>
      <c r="H35" s="59"/>
      <c r="I35" s="59"/>
      <c r="J35" s="244"/>
      <c r="K35" s="68"/>
      <c r="L35" s="118"/>
      <c r="M35" s="59"/>
      <c r="N35" s="118"/>
      <c r="O35" s="72"/>
    </row>
    <row r="36" spans="1:15" ht="15.75" customHeight="1">
      <c r="A36" s="63"/>
      <c r="B36" s="83"/>
      <c r="C36" s="84"/>
      <c r="D36" s="58"/>
      <c r="E36" s="82"/>
      <c r="F36" s="59"/>
      <c r="G36" s="59"/>
      <c r="H36" s="59"/>
      <c r="I36" s="59"/>
      <c r="J36" s="244"/>
      <c r="K36" s="68"/>
      <c r="L36" s="118"/>
      <c r="M36" s="59"/>
      <c r="N36" s="118"/>
      <c r="O36" s="69"/>
    </row>
    <row r="37" spans="1:15" ht="15.75" customHeight="1">
      <c r="A37" s="63"/>
      <c r="B37" s="83"/>
      <c r="C37" s="84"/>
      <c r="D37" s="58"/>
      <c r="E37" s="85"/>
      <c r="F37" s="59"/>
      <c r="G37" s="59"/>
      <c r="H37" s="59"/>
      <c r="I37" s="59"/>
      <c r="J37" s="244"/>
      <c r="K37" s="68"/>
      <c r="L37" s="118"/>
      <c r="M37" s="59"/>
      <c r="N37" s="118"/>
      <c r="O37" s="69"/>
    </row>
    <row r="38" spans="1:15" ht="15.75" customHeight="1">
      <c r="A38" s="63"/>
      <c r="B38" s="83"/>
      <c r="C38" s="84"/>
      <c r="D38" s="58"/>
      <c r="E38" s="82"/>
      <c r="F38" s="59"/>
      <c r="G38" s="59"/>
      <c r="H38" s="59"/>
      <c r="I38" s="59"/>
      <c r="J38" s="244"/>
      <c r="K38" s="68"/>
      <c r="L38" s="118"/>
      <c r="M38" s="59"/>
      <c r="N38" s="118"/>
      <c r="O38" s="69"/>
    </row>
    <row r="39" spans="1:15" ht="15.75" customHeight="1">
      <c r="A39" s="63"/>
      <c r="B39" s="83"/>
      <c r="C39" s="84"/>
      <c r="D39" s="58"/>
      <c r="E39" s="82"/>
      <c r="F39" s="59"/>
      <c r="G39" s="59"/>
      <c r="H39" s="59"/>
      <c r="I39" s="59"/>
      <c r="J39" s="244"/>
      <c r="K39" s="68"/>
      <c r="L39" s="118"/>
      <c r="M39" s="59"/>
      <c r="N39" s="118"/>
      <c r="O39" s="69"/>
    </row>
    <row r="40" spans="1:15" ht="15.75" customHeight="1">
      <c r="A40" s="63"/>
      <c r="B40" s="83"/>
      <c r="C40" s="84"/>
      <c r="D40" s="58"/>
      <c r="E40" s="82"/>
      <c r="F40" s="59"/>
      <c r="G40" s="59"/>
      <c r="H40" s="59"/>
      <c r="I40" s="59"/>
      <c r="J40" s="244"/>
      <c r="K40" s="68"/>
      <c r="L40" s="118"/>
      <c r="M40" s="59"/>
      <c r="N40" s="118"/>
      <c r="O40" s="69"/>
    </row>
    <row r="41" spans="1:15" ht="15.75" customHeight="1">
      <c r="A41" s="63"/>
      <c r="B41" s="83"/>
      <c r="C41" s="84"/>
      <c r="D41" s="58"/>
      <c r="E41" s="82"/>
      <c r="F41" s="59"/>
      <c r="G41" s="59"/>
      <c r="H41" s="59"/>
      <c r="I41" s="59"/>
      <c r="J41" s="244"/>
      <c r="K41" s="68"/>
      <c r="L41" s="118"/>
      <c r="M41" s="59"/>
      <c r="N41" s="118"/>
      <c r="O41" s="69"/>
    </row>
    <row r="42" spans="1:15" ht="15.75" customHeight="1">
      <c r="A42" s="88"/>
      <c r="B42" s="89"/>
      <c r="C42" s="90"/>
      <c r="D42" s="91"/>
      <c r="E42" s="92"/>
      <c r="F42" s="93"/>
      <c r="G42" s="93"/>
      <c r="H42" s="94"/>
      <c r="I42" s="94"/>
      <c r="J42" s="246"/>
      <c r="K42" s="95"/>
      <c r="L42" s="119"/>
      <c r="M42" s="94"/>
      <c r="N42" s="119"/>
      <c r="O42" s="69"/>
    </row>
    <row r="43" spans="1:15" ht="15.75" customHeight="1">
      <c r="A43" s="96"/>
      <c r="B43" s="96"/>
      <c r="C43" s="96"/>
      <c r="D43" s="96"/>
      <c r="E43" s="96"/>
      <c r="F43" s="96"/>
      <c r="G43" s="96"/>
      <c r="H43" s="96"/>
      <c r="I43" s="96"/>
      <c r="J43" s="247"/>
      <c r="K43" s="98">
        <f>SUM(K2:K42)</f>
        <v>108719</v>
      </c>
      <c r="L43" s="98"/>
      <c r="M43" s="97" t="s">
        <v>123</v>
      </c>
      <c r="N43" s="98"/>
      <c r="O43" s="99"/>
    </row>
    <row r="44" spans="1:15" ht="15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248"/>
      <c r="K44" s="98">
        <f>SUMIF(K2:K42,M44,K2:K42)</f>
        <v>0</v>
      </c>
      <c r="L44" s="98"/>
      <c r="M44" s="101" t="s">
        <v>179</v>
      </c>
      <c r="N44" s="98"/>
      <c r="O44" s="99"/>
    </row>
    <row r="45" spans="1:15" ht="15.75" customHeight="1">
      <c r="A45" s="102"/>
      <c r="B45" s="102"/>
      <c r="C45" s="102"/>
      <c r="D45" s="102"/>
      <c r="E45" s="102"/>
      <c r="F45" s="102"/>
      <c r="G45" s="102"/>
      <c r="H45" s="102"/>
      <c r="I45" s="102"/>
      <c r="J45" s="249"/>
      <c r="K45" s="98">
        <f>SUMIF(K2:K42,M45,K2:K42)</f>
        <v>0</v>
      </c>
      <c r="L45" s="98"/>
      <c r="M45" s="103" t="s">
        <v>183</v>
      </c>
      <c r="N45" s="98"/>
      <c r="O45" s="99"/>
    </row>
    <row r="46" spans="1:15" ht="15.75" hidden="1" customHeight="1">
      <c r="A46" s="104">
        <v>33</v>
      </c>
      <c r="B46" s="57"/>
      <c r="C46" s="105"/>
      <c r="D46" s="106"/>
      <c r="E46" s="107"/>
      <c r="F46" s="107"/>
      <c r="G46" s="107"/>
      <c r="H46" s="107"/>
      <c r="I46" s="107"/>
      <c r="J46" s="250"/>
      <c r="K46" s="67"/>
      <c r="L46" s="115"/>
      <c r="M46" s="107"/>
      <c r="N46" s="115"/>
      <c r="O46" s="69"/>
    </row>
    <row r="47" spans="1:15" ht="15.75" hidden="1" customHeight="1">
      <c r="A47" s="63">
        <v>34</v>
      </c>
      <c r="B47" s="64"/>
      <c r="C47" s="108"/>
      <c r="D47" s="58"/>
      <c r="E47" s="59"/>
      <c r="F47" s="59"/>
      <c r="G47" s="59"/>
      <c r="H47" s="59"/>
      <c r="I47" s="59"/>
      <c r="J47" s="244"/>
      <c r="K47" s="68"/>
      <c r="L47" s="99"/>
      <c r="M47" s="59"/>
      <c r="N47" s="99"/>
      <c r="O47" s="72"/>
    </row>
    <row r="48" spans="1:15" ht="15.75" hidden="1" customHeight="1">
      <c r="A48" s="63">
        <v>35</v>
      </c>
      <c r="B48" s="64"/>
      <c r="C48" s="108"/>
      <c r="D48" s="58"/>
      <c r="E48" s="59"/>
      <c r="F48" s="59"/>
      <c r="G48" s="59"/>
      <c r="H48" s="59"/>
      <c r="I48" s="59"/>
      <c r="J48" s="244"/>
      <c r="K48" s="68"/>
      <c r="L48" s="99"/>
      <c r="M48" s="59"/>
      <c r="N48" s="99"/>
      <c r="O48" s="72"/>
    </row>
    <row r="49" spans="1:15" ht="15.75" hidden="1" customHeight="1">
      <c r="A49" s="63">
        <v>36</v>
      </c>
      <c r="B49" s="64"/>
      <c r="C49" s="108"/>
      <c r="D49" s="58"/>
      <c r="E49" s="60"/>
      <c r="F49" s="59"/>
      <c r="G49" s="59"/>
      <c r="H49" s="59"/>
      <c r="I49" s="59"/>
      <c r="J49" s="244"/>
      <c r="K49" s="68"/>
      <c r="L49" s="99"/>
      <c r="M49" s="59"/>
      <c r="N49" s="99"/>
      <c r="O49" s="72"/>
    </row>
    <row r="50" spans="1:15" ht="15.75" hidden="1" customHeight="1">
      <c r="A50" s="63">
        <v>37</v>
      </c>
      <c r="B50" s="64"/>
      <c r="C50" s="108"/>
      <c r="D50" s="58"/>
      <c r="E50" s="59"/>
      <c r="F50" s="59"/>
      <c r="G50" s="59"/>
      <c r="H50" s="59"/>
      <c r="I50" s="59"/>
      <c r="J50" s="244"/>
      <c r="K50" s="68"/>
      <c r="L50" s="99"/>
      <c r="M50" s="59"/>
      <c r="N50" s="99"/>
      <c r="O50" s="72"/>
    </row>
    <row r="51" spans="1:15" ht="15.75" hidden="1" customHeight="1">
      <c r="A51" s="63">
        <v>38</v>
      </c>
      <c r="B51" s="64"/>
      <c r="C51" s="108"/>
      <c r="D51" s="58"/>
      <c r="E51" s="59"/>
      <c r="F51" s="59"/>
      <c r="G51" s="59"/>
      <c r="H51" s="59"/>
      <c r="I51" s="59"/>
      <c r="J51" s="244"/>
      <c r="K51" s="68"/>
      <c r="L51" s="99"/>
      <c r="M51" s="59"/>
      <c r="N51" s="99"/>
      <c r="O51" s="72"/>
    </row>
    <row r="52" spans="1:15" ht="15.75" hidden="1" customHeight="1">
      <c r="A52" s="63">
        <v>39</v>
      </c>
      <c r="B52" s="64"/>
      <c r="C52" s="108"/>
      <c r="D52" s="58"/>
      <c r="E52" s="59"/>
      <c r="F52" s="59"/>
      <c r="G52" s="59"/>
      <c r="H52" s="59"/>
      <c r="I52" s="59"/>
      <c r="J52" s="244"/>
      <c r="K52" s="68"/>
      <c r="L52" s="99"/>
      <c r="M52" s="59"/>
      <c r="N52" s="99"/>
      <c r="O52" s="72"/>
    </row>
    <row r="53" spans="1:15" ht="15.75" hidden="1" customHeight="1">
      <c r="A53" s="63">
        <v>40</v>
      </c>
      <c r="B53" s="64"/>
      <c r="C53" s="108"/>
      <c r="D53" s="58"/>
      <c r="E53" s="59"/>
      <c r="F53" s="59"/>
      <c r="G53" s="59"/>
      <c r="H53" s="59"/>
      <c r="I53" s="59"/>
      <c r="J53" s="244"/>
      <c r="K53" s="68"/>
      <c r="L53" s="99"/>
      <c r="M53" s="59"/>
      <c r="N53" s="99"/>
      <c r="O53" s="72"/>
    </row>
    <row r="54" spans="1:15" ht="15.75" hidden="1" customHeight="1">
      <c r="A54" s="63">
        <v>41</v>
      </c>
      <c r="B54" s="64"/>
      <c r="C54" s="108"/>
      <c r="D54" s="58"/>
      <c r="E54" s="60"/>
      <c r="F54" s="59"/>
      <c r="G54" s="59"/>
      <c r="H54" s="59"/>
      <c r="I54" s="59"/>
      <c r="J54" s="244"/>
      <c r="K54" s="68"/>
      <c r="L54" s="99"/>
      <c r="M54" s="59"/>
      <c r="N54" s="99"/>
      <c r="O54" s="72"/>
    </row>
    <row r="55" spans="1:15" ht="15.75" hidden="1" customHeight="1">
      <c r="A55" s="63">
        <v>42</v>
      </c>
      <c r="B55" s="64"/>
      <c r="C55" s="108"/>
      <c r="D55" s="58"/>
      <c r="E55" s="59"/>
      <c r="F55" s="59"/>
      <c r="G55" s="59"/>
      <c r="H55" s="59"/>
      <c r="I55" s="59"/>
      <c r="J55" s="244"/>
      <c r="K55" s="68"/>
      <c r="L55" s="99"/>
      <c r="M55" s="59"/>
      <c r="N55" s="99"/>
      <c r="O55" s="72"/>
    </row>
    <row r="56" spans="1:15" ht="15.75" hidden="1" customHeight="1">
      <c r="A56" s="63">
        <v>43</v>
      </c>
      <c r="B56" s="64"/>
      <c r="C56" s="109"/>
      <c r="D56" s="73"/>
      <c r="E56" s="59"/>
      <c r="F56" s="74"/>
      <c r="G56" s="74"/>
      <c r="H56" s="74"/>
      <c r="I56" s="74"/>
      <c r="J56" s="251"/>
      <c r="K56" s="75"/>
      <c r="L56" s="116"/>
      <c r="M56" s="74"/>
      <c r="N56" s="116"/>
      <c r="O56" s="76"/>
    </row>
    <row r="57" spans="1:15" ht="15.75" hidden="1" customHeight="1">
      <c r="A57" s="63">
        <v>44</v>
      </c>
      <c r="B57" s="64"/>
      <c r="C57" s="108"/>
      <c r="D57" s="58"/>
      <c r="E57" s="59"/>
      <c r="F57" s="59"/>
      <c r="G57" s="59"/>
      <c r="H57" s="59"/>
      <c r="I57" s="59"/>
      <c r="J57" s="244"/>
      <c r="K57" s="68"/>
      <c r="L57" s="99"/>
      <c r="M57" s="59"/>
      <c r="N57" s="99"/>
      <c r="O57" s="72"/>
    </row>
    <row r="58" spans="1:15" ht="15.75" hidden="1" customHeight="1">
      <c r="A58" s="63">
        <v>45</v>
      </c>
      <c r="B58" s="64"/>
      <c r="C58" s="108"/>
      <c r="D58" s="58"/>
      <c r="E58" s="59"/>
      <c r="F58" s="59"/>
      <c r="G58" s="59"/>
      <c r="H58" s="59"/>
      <c r="I58" s="59"/>
      <c r="J58" s="244"/>
      <c r="K58" s="68"/>
      <c r="L58" s="99"/>
      <c r="M58" s="59"/>
      <c r="N58" s="99"/>
      <c r="O58" s="72"/>
    </row>
    <row r="59" spans="1:15" ht="15.75" hidden="1" customHeight="1">
      <c r="A59" s="63">
        <v>46</v>
      </c>
      <c r="B59" s="64"/>
      <c r="C59" s="108"/>
      <c r="D59" s="58"/>
      <c r="E59" s="60"/>
      <c r="F59" s="59"/>
      <c r="G59" s="59"/>
      <c r="H59" s="59"/>
      <c r="I59" s="59"/>
      <c r="J59" s="244"/>
      <c r="K59" s="77"/>
      <c r="L59" s="117"/>
      <c r="M59" s="59"/>
      <c r="N59" s="117"/>
      <c r="O59" s="72"/>
    </row>
    <row r="60" spans="1:15" ht="15.75" hidden="1" customHeight="1">
      <c r="A60" s="63">
        <v>47</v>
      </c>
      <c r="B60" s="64"/>
      <c r="C60" s="108"/>
      <c r="D60" s="58"/>
      <c r="E60" s="59"/>
      <c r="F60" s="59"/>
      <c r="G60" s="59"/>
      <c r="H60" s="59"/>
      <c r="I60" s="59"/>
      <c r="J60" s="244"/>
      <c r="K60" s="68"/>
      <c r="L60" s="99"/>
      <c r="M60" s="59"/>
      <c r="N60" s="99"/>
      <c r="O60" s="72"/>
    </row>
    <row r="61" spans="1:15" ht="15.75" hidden="1" customHeight="1">
      <c r="A61" s="63">
        <v>48</v>
      </c>
      <c r="B61" s="64"/>
      <c r="C61" s="108"/>
      <c r="D61" s="58"/>
      <c r="E61" s="59"/>
      <c r="F61" s="59"/>
      <c r="G61" s="59"/>
      <c r="H61" s="59"/>
      <c r="I61" s="59"/>
      <c r="J61" s="244"/>
      <c r="K61" s="68"/>
      <c r="L61" s="99"/>
      <c r="M61" s="59"/>
      <c r="N61" s="99"/>
      <c r="O61" s="72"/>
    </row>
    <row r="62" spans="1:15" ht="15.75" hidden="1" customHeight="1">
      <c r="A62" s="63">
        <v>49</v>
      </c>
      <c r="B62" s="64"/>
      <c r="C62" s="108"/>
      <c r="D62" s="58"/>
      <c r="E62" s="59"/>
      <c r="F62" s="59"/>
      <c r="G62" s="59"/>
      <c r="H62" s="59"/>
      <c r="I62" s="59"/>
      <c r="J62" s="244"/>
      <c r="K62" s="68"/>
      <c r="L62" s="99"/>
      <c r="M62" s="59"/>
      <c r="N62" s="99"/>
      <c r="O62" s="72"/>
    </row>
    <row r="63" spans="1:15" ht="15.75" hidden="1" customHeight="1">
      <c r="A63" s="63">
        <v>50</v>
      </c>
      <c r="B63" s="64"/>
      <c r="C63" s="108"/>
      <c r="D63" s="58"/>
      <c r="E63" s="59"/>
      <c r="F63" s="59"/>
      <c r="G63" s="59"/>
      <c r="H63" s="59"/>
      <c r="I63" s="59"/>
      <c r="J63" s="244"/>
      <c r="K63" s="68"/>
      <c r="L63" s="99"/>
      <c r="M63" s="59"/>
      <c r="N63" s="99"/>
      <c r="O63" s="72"/>
    </row>
    <row r="64" spans="1:15" ht="15.75" hidden="1" customHeight="1">
      <c r="A64" s="63">
        <v>51</v>
      </c>
      <c r="B64" s="64"/>
      <c r="C64" s="108"/>
      <c r="D64" s="58"/>
      <c r="E64" s="60"/>
      <c r="F64" s="59"/>
      <c r="G64" s="59"/>
      <c r="H64" s="59"/>
      <c r="I64" s="59"/>
      <c r="J64" s="244"/>
      <c r="K64" s="68"/>
      <c r="L64" s="99"/>
      <c r="M64" s="59"/>
      <c r="N64" s="99"/>
      <c r="O64" s="72"/>
    </row>
    <row r="65" spans="1:15" ht="15.75" hidden="1" customHeight="1">
      <c r="A65" s="63">
        <v>52</v>
      </c>
      <c r="B65" s="64"/>
      <c r="C65" s="108"/>
      <c r="D65" s="58"/>
      <c r="E65" s="59"/>
      <c r="F65" s="59"/>
      <c r="G65" s="59"/>
      <c r="H65" s="59"/>
      <c r="I65" s="59"/>
      <c r="J65" s="244"/>
      <c r="K65" s="68"/>
      <c r="L65" s="99"/>
      <c r="M65" s="59"/>
      <c r="N65" s="99"/>
      <c r="O65" s="72"/>
    </row>
    <row r="66" spans="1:15" ht="15.75" hidden="1" customHeight="1">
      <c r="A66" s="63">
        <v>53</v>
      </c>
      <c r="B66" s="64"/>
      <c r="C66" s="108"/>
      <c r="D66" s="58"/>
      <c r="E66" s="59"/>
      <c r="F66" s="59"/>
      <c r="G66" s="59"/>
      <c r="H66" s="59"/>
      <c r="I66" s="59"/>
      <c r="J66" s="244"/>
      <c r="K66" s="68"/>
      <c r="L66" s="99"/>
      <c r="M66" s="59"/>
      <c r="N66" s="99"/>
      <c r="O66" s="72"/>
    </row>
    <row r="67" spans="1:15" ht="15.75" hidden="1" customHeight="1">
      <c r="A67" s="63">
        <v>54</v>
      </c>
      <c r="B67" s="64"/>
      <c r="C67" s="108"/>
      <c r="D67" s="58"/>
      <c r="E67" s="59"/>
      <c r="F67" s="59"/>
      <c r="G67" s="59"/>
      <c r="H67" s="59"/>
      <c r="I67" s="59"/>
      <c r="J67" s="244"/>
      <c r="K67" s="68"/>
      <c r="L67" s="99"/>
      <c r="M67" s="59"/>
      <c r="N67" s="99"/>
      <c r="O67" s="72"/>
    </row>
    <row r="68" spans="1:15" ht="15.75" hidden="1" customHeight="1">
      <c r="A68" s="63">
        <v>55</v>
      </c>
      <c r="B68" s="64"/>
      <c r="C68" s="110"/>
      <c r="D68" s="78"/>
      <c r="E68" s="59"/>
      <c r="F68" s="79"/>
      <c r="G68" s="79"/>
      <c r="H68" s="79"/>
      <c r="I68" s="79"/>
      <c r="J68" s="252"/>
      <c r="K68" s="68"/>
      <c r="L68" s="99"/>
      <c r="M68" s="79"/>
      <c r="N68" s="99"/>
      <c r="O68" s="80"/>
    </row>
    <row r="69" spans="1:15" ht="15.75" hidden="1" customHeight="1">
      <c r="A69" s="63">
        <v>56</v>
      </c>
      <c r="B69" s="64"/>
      <c r="C69" s="110"/>
      <c r="D69" s="78"/>
      <c r="E69" s="79"/>
      <c r="F69" s="79"/>
      <c r="G69" s="79"/>
      <c r="H69" s="79"/>
      <c r="I69" s="79"/>
      <c r="J69" s="252"/>
      <c r="K69" s="68"/>
      <c r="L69" s="99"/>
      <c r="M69" s="79"/>
      <c r="N69" s="99"/>
      <c r="O69" s="80"/>
    </row>
    <row r="70" spans="1:15" ht="15.75" hidden="1" customHeight="1">
      <c r="A70" s="63">
        <v>57</v>
      </c>
      <c r="B70" s="64"/>
      <c r="C70" s="110"/>
      <c r="D70" s="78"/>
      <c r="E70" s="79"/>
      <c r="F70" s="79"/>
      <c r="G70" s="79"/>
      <c r="H70" s="79"/>
      <c r="I70" s="79"/>
      <c r="J70" s="252"/>
      <c r="K70" s="68"/>
      <c r="L70" s="99"/>
      <c r="M70" s="79"/>
      <c r="N70" s="99"/>
      <c r="O70" s="80"/>
    </row>
    <row r="71" spans="1:15" ht="15.75" hidden="1" customHeight="1">
      <c r="A71" s="63">
        <v>58</v>
      </c>
      <c r="B71" s="64"/>
      <c r="C71" s="110"/>
      <c r="D71" s="78"/>
      <c r="E71" s="79"/>
      <c r="F71" s="79"/>
      <c r="G71" s="79"/>
      <c r="H71" s="79"/>
      <c r="I71" s="79"/>
      <c r="J71" s="252"/>
      <c r="K71" s="68"/>
      <c r="L71" s="99"/>
      <c r="M71" s="79"/>
      <c r="N71" s="99"/>
      <c r="O71" s="80"/>
    </row>
    <row r="72" spans="1:15" ht="15.75" hidden="1" customHeight="1">
      <c r="A72" s="63">
        <v>59</v>
      </c>
      <c r="B72" s="64"/>
      <c r="C72" s="110"/>
      <c r="D72" s="78"/>
      <c r="E72" s="79"/>
      <c r="F72" s="79"/>
      <c r="G72" s="79"/>
      <c r="H72" s="79"/>
      <c r="I72" s="79"/>
      <c r="J72" s="252"/>
      <c r="K72" s="68"/>
      <c r="L72" s="99"/>
      <c r="M72" s="79"/>
      <c r="N72" s="99"/>
      <c r="O72" s="80"/>
    </row>
    <row r="73" spans="1:15" ht="15" customHeight="1">
      <c r="J73" s="253"/>
    </row>
    <row r="74" spans="1:15" ht="15" customHeight="1">
      <c r="J74" s="253"/>
    </row>
    <row r="75" spans="1:15" ht="15" customHeight="1">
      <c r="J75" s="253"/>
    </row>
    <row r="76" spans="1:15" ht="15" customHeight="1">
      <c r="J76" s="253"/>
    </row>
    <row r="77" spans="1:15" ht="15" customHeight="1">
      <c r="J77" s="253"/>
    </row>
    <row r="78" spans="1:15" ht="15" customHeight="1">
      <c r="J78" s="253"/>
    </row>
    <row r="79" spans="1:15" ht="15" customHeight="1">
      <c r="J79" s="253"/>
    </row>
    <row r="80" spans="1:15" ht="15" customHeight="1">
      <c r="J80" s="253"/>
    </row>
    <row r="81" spans="10:10" ht="15" customHeight="1">
      <c r="J81" s="253"/>
    </row>
    <row r="82" spans="10:10" ht="15" customHeight="1">
      <c r="J82" s="253"/>
    </row>
    <row r="83" spans="10:10" ht="15" customHeight="1">
      <c r="J83" s="253"/>
    </row>
    <row r="84" spans="10:10" ht="15" customHeight="1">
      <c r="J84" s="253"/>
    </row>
    <row r="85" spans="10:10" ht="15" customHeight="1">
      <c r="J85" s="253"/>
    </row>
    <row r="86" spans="10:10" ht="15" customHeight="1">
      <c r="J86" s="253"/>
    </row>
    <row r="87" spans="10:10" ht="15" customHeight="1">
      <c r="J87" s="253"/>
    </row>
    <row r="88" spans="10:10" ht="15" customHeight="1">
      <c r="J88" s="253"/>
    </row>
    <row r="89" spans="10:10" ht="15" customHeight="1">
      <c r="J89" s="253"/>
    </row>
    <row r="90" spans="10:10" ht="15" customHeight="1">
      <c r="J90" s="253"/>
    </row>
    <row r="91" spans="10:10" ht="15" customHeight="1">
      <c r="J91" s="253"/>
    </row>
    <row r="92" spans="10:10" ht="15" customHeight="1">
      <c r="J92" s="253"/>
    </row>
    <row r="93" spans="10:10" ht="15" customHeight="1">
      <c r="J93" s="253"/>
    </row>
    <row r="94" spans="10:10" ht="15" customHeight="1">
      <c r="J94" s="253"/>
    </row>
    <row r="95" spans="10:10" ht="15" customHeight="1">
      <c r="J95" s="253"/>
    </row>
    <row r="96" spans="10:10" ht="15" customHeight="1">
      <c r="J96" s="253"/>
    </row>
    <row r="97" spans="10:10" ht="15" customHeight="1">
      <c r="J97" s="253"/>
    </row>
    <row r="98" spans="10:10" ht="15" customHeight="1">
      <c r="J98" s="253"/>
    </row>
    <row r="99" spans="10:10" ht="15" customHeight="1">
      <c r="J99" s="253"/>
    </row>
    <row r="100" spans="10:10" ht="15" customHeight="1">
      <c r="J100" s="253"/>
    </row>
    <row r="101" spans="10:10" ht="15" customHeight="1">
      <c r="J101" s="253"/>
    </row>
    <row r="102" spans="10:10" ht="15" customHeight="1">
      <c r="J102" s="253"/>
    </row>
    <row r="103" spans="10:10" ht="15" customHeight="1">
      <c r="J103" s="253"/>
    </row>
    <row r="104" spans="10:10" ht="15" customHeight="1">
      <c r="J104" s="253"/>
    </row>
    <row r="105" spans="10:10" ht="15" customHeight="1">
      <c r="J105" s="253"/>
    </row>
    <row r="106" spans="10:10" ht="15" customHeight="1">
      <c r="J106" s="253"/>
    </row>
    <row r="107" spans="10:10" ht="15" customHeight="1">
      <c r="J107" s="253"/>
    </row>
    <row r="108" spans="10:10" ht="15" customHeight="1">
      <c r="J108" s="253"/>
    </row>
    <row r="109" spans="10:10" ht="15" customHeight="1">
      <c r="J109" s="253"/>
    </row>
    <row r="110" spans="10:10" ht="15" customHeight="1">
      <c r="J110" s="253"/>
    </row>
    <row r="111" spans="10:10" ht="15" customHeight="1">
      <c r="J111" s="253"/>
    </row>
    <row r="112" spans="10:10" ht="15" customHeight="1">
      <c r="J112" s="253"/>
    </row>
    <row r="113" spans="10:10" ht="15" customHeight="1">
      <c r="J113" s="253"/>
    </row>
    <row r="114" spans="10:10" ht="15" customHeight="1">
      <c r="J114" s="253"/>
    </row>
    <row r="115" spans="10:10" ht="15" customHeight="1">
      <c r="J115" s="253"/>
    </row>
    <row r="116" spans="10:10" ht="15" customHeight="1">
      <c r="J116" s="253"/>
    </row>
    <row r="117" spans="10:10" ht="15" customHeight="1">
      <c r="J117" s="253"/>
    </row>
    <row r="118" spans="10:10" ht="15" customHeight="1">
      <c r="J118" s="253"/>
    </row>
    <row r="119" spans="10:10" ht="15" customHeight="1">
      <c r="J119" s="253"/>
    </row>
    <row r="120" spans="10:10" ht="15" customHeight="1">
      <c r="J120" s="253"/>
    </row>
    <row r="121" spans="10:10" ht="15" customHeight="1">
      <c r="J121" s="253"/>
    </row>
    <row r="122" spans="10:10" ht="15" customHeight="1">
      <c r="J122" s="253"/>
    </row>
    <row r="123" spans="10:10" ht="15" customHeight="1">
      <c r="J123" s="253"/>
    </row>
    <row r="124" spans="10:10" ht="15" customHeight="1">
      <c r="J124" s="253"/>
    </row>
    <row r="125" spans="10:10" ht="15" customHeight="1">
      <c r="J125" s="253"/>
    </row>
    <row r="126" spans="10:10" ht="15" customHeight="1">
      <c r="J126" s="253"/>
    </row>
    <row r="127" spans="10:10" ht="15" customHeight="1">
      <c r="J127" s="253"/>
    </row>
    <row r="128" spans="10:10" ht="15" customHeight="1">
      <c r="J128" s="253"/>
    </row>
    <row r="129" spans="10:10" ht="15" customHeight="1">
      <c r="J129" s="253"/>
    </row>
    <row r="130" spans="10:10" ht="15" customHeight="1">
      <c r="J130" s="253"/>
    </row>
    <row r="131" spans="10:10" ht="15" customHeight="1">
      <c r="J131" s="253"/>
    </row>
    <row r="132" spans="10:10" ht="15" customHeight="1">
      <c r="J132" s="253"/>
    </row>
    <row r="133" spans="10:10" ht="15" customHeight="1">
      <c r="J133" s="253"/>
    </row>
    <row r="134" spans="10:10" ht="15" customHeight="1">
      <c r="J134" s="253"/>
    </row>
    <row r="135" spans="10:10" ht="15" customHeight="1">
      <c r="J135" s="253"/>
    </row>
    <row r="136" spans="10:10" ht="15" customHeight="1">
      <c r="J136" s="253"/>
    </row>
    <row r="137" spans="10:10" ht="15" customHeight="1">
      <c r="J137" s="253"/>
    </row>
    <row r="138" spans="10:10" ht="15" customHeight="1">
      <c r="J138" s="253"/>
    </row>
    <row r="139" spans="10:10" ht="15" customHeight="1">
      <c r="J139" s="253"/>
    </row>
    <row r="140" spans="10:10" ht="15" customHeight="1">
      <c r="J140" s="253"/>
    </row>
    <row r="141" spans="10:10" ht="15" customHeight="1">
      <c r="J141" s="253"/>
    </row>
    <row r="142" spans="10:10" ht="15" customHeight="1">
      <c r="J142" s="253"/>
    </row>
    <row r="143" spans="10:10" ht="15" customHeight="1">
      <c r="J143" s="253"/>
    </row>
    <row r="144" spans="10:10" ht="15" customHeight="1">
      <c r="J144" s="253"/>
    </row>
    <row r="145" spans="10:10" ht="15" customHeight="1">
      <c r="J145" s="253"/>
    </row>
    <row r="146" spans="10:10" ht="15" customHeight="1">
      <c r="J146" s="253"/>
    </row>
    <row r="147" spans="10:10" ht="15" customHeight="1">
      <c r="J147" s="253"/>
    </row>
    <row r="148" spans="10:10" ht="15" customHeight="1">
      <c r="J148" s="253"/>
    </row>
    <row r="149" spans="10:10" ht="15" customHeight="1">
      <c r="J149" s="253"/>
    </row>
    <row r="150" spans="10:10" ht="15" customHeight="1">
      <c r="J150" s="253"/>
    </row>
    <row r="151" spans="10:10" ht="15" customHeight="1">
      <c r="J151" s="253"/>
    </row>
    <row r="152" spans="10:10" ht="15" customHeight="1">
      <c r="J152" s="253"/>
    </row>
    <row r="153" spans="10:10" ht="15" customHeight="1">
      <c r="J153" s="253"/>
    </row>
    <row r="154" spans="10:10" ht="15" customHeight="1">
      <c r="J154" s="253"/>
    </row>
    <row r="155" spans="10:10" ht="15" customHeight="1">
      <c r="J155" s="253"/>
    </row>
    <row r="156" spans="10:10" ht="15" customHeight="1">
      <c r="J156" s="253"/>
    </row>
    <row r="157" spans="10:10" ht="15" customHeight="1">
      <c r="J157" s="253"/>
    </row>
    <row r="158" spans="10:10" ht="15" customHeight="1">
      <c r="J158" s="253"/>
    </row>
    <row r="159" spans="10:10" ht="15" customHeight="1">
      <c r="J159" s="253"/>
    </row>
    <row r="160" spans="10:10" ht="15" customHeight="1">
      <c r="J160" s="253"/>
    </row>
    <row r="161" spans="10:10" ht="15" customHeight="1">
      <c r="J161" s="253"/>
    </row>
    <row r="162" spans="10:10" ht="15" customHeight="1">
      <c r="J162" s="253"/>
    </row>
    <row r="163" spans="10:10" ht="15" customHeight="1">
      <c r="J163" s="253"/>
    </row>
    <row r="164" spans="10:10" ht="15" customHeight="1">
      <c r="J164" s="253"/>
    </row>
    <row r="165" spans="10:10" ht="15" customHeight="1">
      <c r="J165" s="253"/>
    </row>
    <row r="166" spans="10:10" ht="15" customHeight="1">
      <c r="J166" s="253"/>
    </row>
    <row r="167" spans="10:10" ht="15" customHeight="1">
      <c r="J167" s="253"/>
    </row>
    <row r="168" spans="10:10" ht="15" customHeight="1">
      <c r="J168" s="253"/>
    </row>
    <row r="169" spans="10:10" ht="15" customHeight="1">
      <c r="J169" s="253"/>
    </row>
    <row r="170" spans="10:10" ht="15" customHeight="1">
      <c r="J170" s="253"/>
    </row>
    <row r="171" spans="10:10" ht="15" customHeight="1">
      <c r="J171" s="253"/>
    </row>
    <row r="172" spans="10:10" ht="15" customHeight="1">
      <c r="J172" s="253"/>
    </row>
    <row r="173" spans="10:10" ht="15" customHeight="1">
      <c r="J173" s="253"/>
    </row>
    <row r="174" spans="10:10" ht="15" customHeight="1">
      <c r="J174" s="253"/>
    </row>
    <row r="175" spans="10:10" ht="15" customHeight="1">
      <c r="J175" s="253"/>
    </row>
    <row r="176" spans="10:10" ht="15" customHeight="1">
      <c r="J176" s="253"/>
    </row>
    <row r="177" spans="10:10" ht="15" customHeight="1">
      <c r="J177" s="253"/>
    </row>
    <row r="178" spans="10:10" ht="15" customHeight="1">
      <c r="J178" s="253"/>
    </row>
    <row r="179" spans="10:10" ht="15" customHeight="1">
      <c r="J179" s="253"/>
    </row>
    <row r="180" spans="10:10" ht="15" customHeight="1">
      <c r="J180" s="253"/>
    </row>
    <row r="181" spans="10:10" ht="15" customHeight="1">
      <c r="J181" s="253"/>
    </row>
    <row r="182" spans="10:10" ht="15" customHeight="1">
      <c r="J182" s="253"/>
    </row>
    <row r="183" spans="10:10" ht="15" customHeight="1">
      <c r="J183" s="253"/>
    </row>
    <row r="184" spans="10:10" ht="15" customHeight="1">
      <c r="J184" s="253"/>
    </row>
    <row r="185" spans="10:10" ht="15" customHeight="1">
      <c r="J185" s="253"/>
    </row>
    <row r="265" spans="3:3" ht="15" customHeight="1">
      <c r="C265" t="s">
        <v>423</v>
      </c>
    </row>
  </sheetData>
  <conditionalFormatting sqref="M2:M42">
    <cfRule type="cellIs" dxfId="39" priority="1" operator="equal">
      <formula>"In Process"</formula>
    </cfRule>
    <cfRule type="cellIs" dxfId="38" priority="2" operator="equal">
      <formula>"Not Received"</formula>
    </cfRule>
    <cfRule type="cellIs" dxfId="37" priority="3" operator="equal">
      <formula>"Paid By Client"</formula>
    </cfRule>
    <cfRule type="cellIs" dxfId="36" priority="4" operator="equal">
      <formula>"Payment Received"</formula>
    </cfRule>
  </conditionalFormatting>
  <dataValidations count="1">
    <dataValidation type="list" allowBlank="1" showInputMessage="1" showErrorMessage="1" sqref="D2:D39" xr:uid="{00000000-0002-0000-0A00-000000000000}">
      <formula1>client</formula1>
    </dataValidation>
  </dataValidations>
  <hyperlinks>
    <hyperlink ref="D3" r:id="rId1" display="Oliver Stanton" xr:uid="{00000000-0004-0000-0A00-000000000000}"/>
    <hyperlink ref="D4" r:id="rId2" xr:uid="{00000000-0004-0000-0A00-000001000000}"/>
    <hyperlink ref="D2" r:id="rId3" xr:uid="{00000000-0004-0000-0A00-000002000000}"/>
    <hyperlink ref="D5" r:id="rId4" xr:uid="{00000000-0004-0000-0A00-000003000000}"/>
    <hyperlink ref="D6" r:id="rId5" xr:uid="{00000000-0004-0000-0A00-000004000000}"/>
    <hyperlink ref="D7" r:id="rId6" xr:uid="{00000000-0004-0000-0A00-000005000000}"/>
    <hyperlink ref="G8" r:id="rId7" xr:uid="{00000000-0004-0000-0A00-000006000000}"/>
    <hyperlink ref="G9" r:id="rId8" xr:uid="{00000000-0004-0000-0A00-000007000000}"/>
    <hyperlink ref="N10" r:id="rId9" xr:uid="{00000000-0004-0000-0A00-000008000000}"/>
    <hyperlink ref="L10" r:id="rId10" display="$90.00" xr:uid="{00000000-0004-0000-0A00-000009000000}"/>
    <hyperlink ref="N4" r:id="rId11" xr:uid="{00000000-0004-0000-0A00-00000A000000}"/>
    <hyperlink ref="N6" r:id="rId12" xr:uid="{00000000-0004-0000-0A00-00000B000000}"/>
    <hyperlink ref="N8" r:id="rId13" xr:uid="{00000000-0004-0000-0A00-00000C000000}"/>
  </hyperlinks>
  <pageMargins left="0.7" right="0.7" top="0.75" bottom="0.75" header="0" footer="0"/>
  <pageSetup scale="84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5"/>
  <sheetViews>
    <sheetView topLeftCell="F1" workbookViewId="0">
      <pane ySplit="1" topLeftCell="A2" activePane="bottomLeft" state="frozen"/>
      <selection pane="bottomLeft" activeCell="V18" sqref="V18"/>
      <selection activeCell="V18" sqref="V18"/>
    </sheetView>
  </sheetViews>
  <sheetFormatPr defaultColWidth="14.42578125" defaultRowHeight="15" customHeight="1"/>
  <cols>
    <col min="1" max="1" width="8.7109375" customWidth="1"/>
    <col min="2" max="2" width="19" customWidth="1"/>
    <col min="3" max="3" width="19.7109375" customWidth="1"/>
    <col min="4" max="4" width="19.85546875" customWidth="1"/>
    <col min="5" max="5" width="52.140625" customWidth="1"/>
    <col min="6" max="6" width="24.7109375" customWidth="1"/>
    <col min="7" max="7" width="23" customWidth="1"/>
    <col min="8" max="8" width="26.140625" bestFit="1" customWidth="1"/>
    <col min="9" max="9" width="17.28515625" customWidth="1"/>
    <col min="10" max="10" width="20.85546875" customWidth="1"/>
    <col min="11" max="12" width="22.7109375" customWidth="1"/>
    <col min="13" max="13" width="21.42578125" customWidth="1"/>
    <col min="14" max="14" width="22.7109375" customWidth="1"/>
    <col min="15" max="15" width="85.28515625" customWidth="1"/>
  </cols>
  <sheetData>
    <row r="1" spans="1:28" ht="33" customHeight="1">
      <c r="A1" s="146" t="s">
        <v>15</v>
      </c>
      <c r="B1" s="149" t="s">
        <v>219</v>
      </c>
      <c r="C1" s="149" t="s">
        <v>220</v>
      </c>
      <c r="D1" s="147" t="s">
        <v>221</v>
      </c>
      <c r="E1" s="147" t="s">
        <v>222</v>
      </c>
      <c r="F1" s="147" t="s">
        <v>223</v>
      </c>
      <c r="G1" s="147" t="s">
        <v>224</v>
      </c>
      <c r="H1" s="147" t="s">
        <v>225</v>
      </c>
      <c r="I1" s="147" t="s">
        <v>226</v>
      </c>
      <c r="J1" s="149" t="s">
        <v>330</v>
      </c>
      <c r="K1" s="146" t="s">
        <v>227</v>
      </c>
      <c r="L1" s="148" t="s">
        <v>228</v>
      </c>
      <c r="M1" s="149" t="s">
        <v>229</v>
      </c>
      <c r="N1" s="148" t="s">
        <v>230</v>
      </c>
      <c r="O1" s="146" t="s">
        <v>18</v>
      </c>
    </row>
    <row r="2" spans="1:28" ht="15.75">
      <c r="A2" s="5">
        <v>1</v>
      </c>
      <c r="B2" s="128">
        <v>45051</v>
      </c>
      <c r="C2" s="139"/>
      <c r="D2" s="257" t="s">
        <v>321</v>
      </c>
      <c r="E2" s="131" t="s">
        <v>424</v>
      </c>
      <c r="F2" s="156">
        <v>10444110000566</v>
      </c>
      <c r="G2" s="210" t="s">
        <v>425</v>
      </c>
      <c r="H2" s="133"/>
      <c r="I2" s="133"/>
      <c r="J2" s="150"/>
      <c r="K2" s="224"/>
      <c r="L2" s="150"/>
      <c r="M2" s="234"/>
      <c r="N2" s="208"/>
      <c r="O2" s="238" t="s">
        <v>426</v>
      </c>
      <c r="AB2" s="130" t="s">
        <v>234</v>
      </c>
    </row>
    <row r="3" spans="1:28" ht="15.75">
      <c r="A3" s="9">
        <v>2</v>
      </c>
      <c r="B3" s="136">
        <v>45055</v>
      </c>
      <c r="C3" s="139"/>
      <c r="D3" s="257" t="s">
        <v>321</v>
      </c>
      <c r="E3" s="131" t="s">
        <v>427</v>
      </c>
      <c r="F3" s="156">
        <v>113285763</v>
      </c>
      <c r="G3" s="210" t="s">
        <v>428</v>
      </c>
      <c r="H3" s="133"/>
      <c r="I3" s="133"/>
      <c r="J3" s="150"/>
      <c r="K3" s="224">
        <v>7400</v>
      </c>
      <c r="L3" s="150"/>
      <c r="M3" s="137"/>
      <c r="N3" s="69"/>
      <c r="O3" s="238" t="s">
        <v>412</v>
      </c>
    </row>
    <row r="4" spans="1:28" ht="15.75">
      <c r="A4" s="9">
        <v>3</v>
      </c>
      <c r="B4" s="128"/>
      <c r="C4" s="139">
        <v>45055</v>
      </c>
      <c r="D4" s="257" t="s">
        <v>429</v>
      </c>
      <c r="E4" s="241" t="s">
        <v>430</v>
      </c>
      <c r="F4" s="156"/>
      <c r="G4" s="210" t="s">
        <v>295</v>
      </c>
      <c r="H4" s="133"/>
      <c r="I4" s="133"/>
      <c r="J4" s="150"/>
      <c r="K4" s="224">
        <v>13200</v>
      </c>
      <c r="L4" s="150"/>
      <c r="M4" s="137"/>
      <c r="N4" s="208" t="s">
        <v>230</v>
      </c>
      <c r="O4" s="238"/>
    </row>
    <row r="5" spans="1:28" ht="15.75">
      <c r="A5" s="9">
        <v>4</v>
      </c>
      <c r="B5" s="128">
        <v>45066</v>
      </c>
      <c r="C5" s="129"/>
      <c r="D5" s="257" t="s">
        <v>234</v>
      </c>
      <c r="E5" s="131" t="s">
        <v>431</v>
      </c>
      <c r="F5" s="197">
        <v>398290640012</v>
      </c>
      <c r="G5" s="132" t="s">
        <v>432</v>
      </c>
      <c r="H5" s="133"/>
      <c r="I5" s="133"/>
      <c r="J5" s="150"/>
      <c r="K5" s="124">
        <v>870</v>
      </c>
      <c r="L5" s="150"/>
      <c r="M5" s="137"/>
      <c r="N5" s="208"/>
      <c r="O5" s="238" t="s">
        <v>433</v>
      </c>
    </row>
    <row r="6" spans="1:28" ht="15.75">
      <c r="A6" s="195">
        <v>5</v>
      </c>
      <c r="B6" s="128">
        <v>45077</v>
      </c>
      <c r="C6" s="129"/>
      <c r="D6" s="257" t="s">
        <v>234</v>
      </c>
      <c r="E6" s="131" t="s">
        <v>434</v>
      </c>
      <c r="F6" s="197">
        <v>398457837408</v>
      </c>
      <c r="G6" s="198" t="s">
        <v>432</v>
      </c>
      <c r="H6" s="133"/>
      <c r="I6" s="133"/>
      <c r="J6" s="150"/>
      <c r="K6" s="224">
        <v>1150</v>
      </c>
      <c r="L6" s="150"/>
      <c r="M6" s="137"/>
      <c r="N6" s="200"/>
      <c r="O6" s="239" t="s">
        <v>433</v>
      </c>
    </row>
    <row r="7" spans="1:28" ht="15.75">
      <c r="A7" s="9">
        <v>6</v>
      </c>
      <c r="B7" s="136">
        <v>45075</v>
      </c>
      <c r="C7" s="139"/>
      <c r="D7" s="257" t="s">
        <v>435</v>
      </c>
      <c r="E7" s="131" t="s">
        <v>436</v>
      </c>
      <c r="F7" s="157">
        <v>398654751703</v>
      </c>
      <c r="G7" s="154" t="s">
        <v>432</v>
      </c>
      <c r="H7" s="133"/>
      <c r="I7" s="137"/>
      <c r="J7" s="150"/>
      <c r="K7" s="224">
        <v>1100</v>
      </c>
      <c r="L7" s="150"/>
      <c r="M7" s="137"/>
      <c r="N7" s="208"/>
      <c r="O7" s="239" t="s">
        <v>437</v>
      </c>
    </row>
    <row r="8" spans="1:28" ht="47.25">
      <c r="A8" s="195">
        <v>7</v>
      </c>
      <c r="B8" s="136"/>
      <c r="C8" s="139">
        <v>45076</v>
      </c>
      <c r="D8" s="130" t="s">
        <v>414</v>
      </c>
      <c r="E8" s="241" t="s">
        <v>438</v>
      </c>
      <c r="F8" s="157"/>
      <c r="G8" s="210" t="s">
        <v>295</v>
      </c>
      <c r="H8" s="154"/>
      <c r="I8" s="137"/>
      <c r="J8" s="242"/>
      <c r="K8" s="224">
        <v>24000</v>
      </c>
      <c r="L8" s="150"/>
      <c r="M8" s="137"/>
      <c r="N8" s="208" t="s">
        <v>385</v>
      </c>
      <c r="O8" s="239" t="s">
        <v>412</v>
      </c>
    </row>
    <row r="9" spans="1:28" ht="15.75">
      <c r="A9" s="9">
        <v>8</v>
      </c>
      <c r="B9" s="136"/>
      <c r="C9" s="139"/>
      <c r="D9" s="130"/>
      <c r="E9" s="131"/>
      <c r="F9" s="157"/>
      <c r="G9" s="210"/>
      <c r="H9" s="154"/>
      <c r="I9" s="137"/>
      <c r="J9" s="242"/>
      <c r="K9" s="224"/>
      <c r="L9" s="150"/>
      <c r="M9" s="137"/>
      <c r="N9" s="161"/>
      <c r="O9" s="239"/>
    </row>
    <row r="10" spans="1:28" ht="15.75">
      <c r="A10" s="195">
        <v>9</v>
      </c>
      <c r="B10" s="136"/>
      <c r="C10" s="139"/>
      <c r="D10" s="130"/>
      <c r="E10" s="131"/>
      <c r="F10" s="157"/>
      <c r="G10" s="137"/>
      <c r="H10" s="154"/>
      <c r="I10" s="137"/>
      <c r="J10" s="242"/>
      <c r="K10" s="224"/>
      <c r="L10" s="150"/>
      <c r="M10" s="137"/>
      <c r="N10" s="208"/>
      <c r="O10" s="239"/>
    </row>
    <row r="11" spans="1:28" ht="15.75">
      <c r="A11" s="9">
        <v>10</v>
      </c>
      <c r="B11" s="136"/>
      <c r="C11" s="139"/>
      <c r="D11" s="130"/>
      <c r="E11" s="131"/>
      <c r="F11" s="157"/>
      <c r="G11" s="137"/>
      <c r="H11" s="154"/>
      <c r="I11" s="137"/>
      <c r="J11" s="242"/>
      <c r="K11" s="224"/>
      <c r="L11" s="150"/>
      <c r="M11" s="137"/>
      <c r="N11" s="208"/>
      <c r="O11" s="239"/>
    </row>
    <row r="12" spans="1:28" ht="15.75">
      <c r="A12" s="195">
        <v>11</v>
      </c>
      <c r="B12" s="136"/>
      <c r="C12" s="139"/>
      <c r="D12" s="130"/>
      <c r="E12" s="131"/>
      <c r="F12" s="157"/>
      <c r="G12" s="137"/>
      <c r="H12" s="154"/>
      <c r="I12" s="137"/>
      <c r="J12" s="242"/>
      <c r="K12" s="224"/>
      <c r="L12" s="151"/>
      <c r="M12" s="137"/>
      <c r="N12" s="208"/>
      <c r="O12" s="138"/>
    </row>
    <row r="13" spans="1:28" ht="15.75">
      <c r="A13" s="9">
        <v>12</v>
      </c>
      <c r="B13" s="136"/>
      <c r="C13" s="139"/>
      <c r="D13" s="130"/>
      <c r="E13" s="142"/>
      <c r="F13" s="157"/>
      <c r="G13" s="137"/>
      <c r="H13" s="154"/>
      <c r="I13" s="137"/>
      <c r="J13" s="242"/>
      <c r="K13" s="224"/>
      <c r="L13" s="151"/>
      <c r="M13" s="137"/>
      <c r="N13" s="208"/>
      <c r="O13" s="138"/>
    </row>
    <row r="14" spans="1:28" ht="15.75">
      <c r="A14" s="195">
        <v>13</v>
      </c>
      <c r="B14" s="136"/>
      <c r="C14" s="139"/>
      <c r="D14" s="130"/>
      <c r="E14" s="142"/>
      <c r="F14" s="157"/>
      <c r="G14" s="137"/>
      <c r="H14" s="210"/>
      <c r="I14" s="137"/>
      <c r="J14" s="242"/>
      <c r="K14" s="124"/>
      <c r="L14" s="151"/>
      <c r="M14" s="137"/>
      <c r="N14" s="211"/>
      <c r="O14" s="138"/>
    </row>
    <row r="15" spans="1:28" ht="15.75">
      <c r="A15" s="9">
        <v>14</v>
      </c>
      <c r="B15" s="136"/>
      <c r="C15" s="139"/>
      <c r="D15" s="130"/>
      <c r="E15" s="142"/>
      <c r="F15" s="157"/>
      <c r="G15" s="137"/>
      <c r="H15" s="137"/>
      <c r="I15" s="137"/>
      <c r="J15" s="242"/>
      <c r="K15" s="224"/>
      <c r="L15" s="151"/>
      <c r="M15" s="137"/>
      <c r="N15" s="211"/>
      <c r="O15" s="138"/>
    </row>
    <row r="16" spans="1:28" ht="15.75">
      <c r="A16" s="195">
        <v>15</v>
      </c>
      <c r="B16" s="136"/>
      <c r="C16" s="139"/>
      <c r="D16" s="130"/>
      <c r="E16" s="142"/>
      <c r="F16" s="157"/>
      <c r="G16" s="137"/>
      <c r="H16" s="137"/>
      <c r="I16" s="137"/>
      <c r="J16" s="242"/>
      <c r="K16" s="124"/>
      <c r="L16" s="151"/>
      <c r="M16" s="137"/>
      <c r="N16" s="120"/>
      <c r="O16" s="138"/>
    </row>
    <row r="17" spans="1:15" ht="15.75">
      <c r="A17" s="9">
        <v>16</v>
      </c>
      <c r="B17" s="136"/>
      <c r="C17" s="139"/>
      <c r="D17" s="130"/>
      <c r="E17" s="142"/>
      <c r="F17" s="157"/>
      <c r="G17" s="137"/>
      <c r="H17" s="137"/>
      <c r="I17" s="137"/>
      <c r="J17" s="242"/>
      <c r="K17" s="124"/>
      <c r="L17" s="151"/>
      <c r="M17" s="137"/>
      <c r="N17" s="120"/>
      <c r="O17" s="138"/>
    </row>
    <row r="18" spans="1:15" ht="15.75">
      <c r="A18" s="195">
        <v>17</v>
      </c>
      <c r="B18" s="136"/>
      <c r="C18" s="139"/>
      <c r="D18" s="130"/>
      <c r="E18" s="141"/>
      <c r="F18" s="157"/>
      <c r="G18" s="137"/>
      <c r="H18" s="137"/>
      <c r="I18" s="137"/>
      <c r="J18" s="242"/>
      <c r="K18" s="124"/>
      <c r="L18" s="151"/>
      <c r="M18" s="137"/>
      <c r="N18" s="120"/>
      <c r="O18" s="143"/>
    </row>
    <row r="19" spans="1:15" ht="15.75" customHeight="1">
      <c r="A19" s="9">
        <v>18</v>
      </c>
      <c r="B19" s="136"/>
      <c r="C19" s="139"/>
      <c r="D19" s="130"/>
      <c r="E19" s="131"/>
      <c r="F19" s="157"/>
      <c r="G19" s="137"/>
      <c r="H19" s="137"/>
      <c r="I19" s="137"/>
      <c r="J19" s="242"/>
      <c r="K19" s="124"/>
      <c r="L19" s="151"/>
      <c r="M19" s="137"/>
      <c r="N19" s="120"/>
      <c r="O19" s="140"/>
    </row>
    <row r="20" spans="1:15" ht="15.75" customHeight="1">
      <c r="A20" s="195">
        <v>19</v>
      </c>
      <c r="B20" s="136"/>
      <c r="C20" s="139"/>
      <c r="D20" s="130"/>
      <c r="E20" s="131"/>
      <c r="F20" s="157"/>
      <c r="G20" s="137"/>
      <c r="H20" s="137"/>
      <c r="I20" s="137"/>
      <c r="J20" s="242"/>
      <c r="K20" s="124"/>
      <c r="L20" s="151"/>
      <c r="M20" s="137"/>
      <c r="N20" s="120"/>
      <c r="O20" s="140"/>
    </row>
    <row r="21" spans="1:15" ht="15.75" customHeight="1">
      <c r="A21" s="9">
        <v>20</v>
      </c>
      <c r="B21" s="136"/>
      <c r="C21" s="139"/>
      <c r="D21" s="130"/>
      <c r="E21" s="131"/>
      <c r="F21" s="157"/>
      <c r="G21" s="137"/>
      <c r="H21" s="137"/>
      <c r="I21" s="137"/>
      <c r="J21" s="242"/>
      <c r="K21" s="126"/>
      <c r="L21" s="151"/>
      <c r="M21" s="137"/>
      <c r="N21" s="120"/>
      <c r="O21" s="143"/>
    </row>
    <row r="22" spans="1:15" ht="15.75" customHeight="1">
      <c r="A22" s="195">
        <v>21</v>
      </c>
      <c r="B22" s="136"/>
      <c r="C22" s="139"/>
      <c r="D22" s="130"/>
      <c r="E22" s="131"/>
      <c r="F22" s="157"/>
      <c r="G22" s="137"/>
      <c r="H22" s="137"/>
      <c r="I22" s="137"/>
      <c r="J22" s="242"/>
      <c r="K22" s="127"/>
      <c r="L22" s="151"/>
      <c r="M22" s="137"/>
      <c r="N22" s="120"/>
      <c r="O22" s="140"/>
    </row>
    <row r="23" spans="1:15" ht="15.75" customHeight="1">
      <c r="A23" s="9">
        <v>22</v>
      </c>
      <c r="B23" s="136"/>
      <c r="C23" s="139"/>
      <c r="D23" s="130"/>
      <c r="E23" s="131"/>
      <c r="F23" s="157"/>
      <c r="G23" s="137"/>
      <c r="H23" s="137"/>
      <c r="I23" s="137"/>
      <c r="J23" s="242"/>
      <c r="K23" s="127"/>
      <c r="L23" s="151"/>
      <c r="M23" s="144"/>
      <c r="N23" s="120"/>
      <c r="O23" s="140"/>
    </row>
    <row r="24" spans="1:15" ht="15.75" customHeight="1">
      <c r="A24" s="195">
        <v>23</v>
      </c>
      <c r="B24" s="136"/>
      <c r="C24" s="139"/>
      <c r="D24" s="130"/>
      <c r="E24" s="142"/>
      <c r="F24" s="157"/>
      <c r="G24" s="137"/>
      <c r="H24" s="137"/>
      <c r="I24" s="137"/>
      <c r="J24" s="242"/>
      <c r="K24" s="127"/>
      <c r="L24" s="151"/>
      <c r="M24" s="144"/>
      <c r="N24" s="120"/>
      <c r="O24" s="140"/>
    </row>
    <row r="25" spans="1:15" ht="15.75" customHeight="1">
      <c r="A25" s="9"/>
      <c r="B25" s="136"/>
      <c r="C25" s="139"/>
      <c r="D25" s="130"/>
      <c r="E25" s="142"/>
      <c r="F25" s="157"/>
      <c r="G25" s="137"/>
      <c r="H25" s="137"/>
      <c r="I25" s="137"/>
      <c r="J25" s="242"/>
      <c r="K25" s="127"/>
      <c r="L25" s="151"/>
      <c r="M25" s="144"/>
      <c r="N25" s="120"/>
      <c r="O25" s="140"/>
    </row>
    <row r="26" spans="1:15" ht="15.75" customHeight="1">
      <c r="A26" s="9"/>
      <c r="B26" s="136"/>
      <c r="C26" s="139"/>
      <c r="D26" s="130"/>
      <c r="E26" s="142"/>
      <c r="F26" s="157"/>
      <c r="G26" s="137"/>
      <c r="H26" s="137"/>
      <c r="I26" s="137"/>
      <c r="J26" s="242"/>
      <c r="K26" s="127"/>
      <c r="L26" s="151"/>
      <c r="M26" s="144"/>
      <c r="N26" s="120"/>
      <c r="O26" s="140"/>
    </row>
    <row r="27" spans="1:15" ht="15.75" customHeight="1">
      <c r="A27" s="9"/>
      <c r="B27" s="136"/>
      <c r="C27" s="139"/>
      <c r="D27" s="130"/>
      <c r="E27" s="141"/>
      <c r="F27" s="158"/>
      <c r="G27" s="145"/>
      <c r="H27" s="145"/>
      <c r="I27" s="145"/>
      <c r="J27" s="243"/>
      <c r="K27" s="127"/>
      <c r="L27" s="151"/>
      <c r="M27" s="144"/>
      <c r="N27" s="118"/>
      <c r="O27" s="140"/>
    </row>
    <row r="28" spans="1:15" ht="15.75" customHeight="1">
      <c r="A28" s="9"/>
      <c r="B28" s="136"/>
      <c r="C28" s="139"/>
      <c r="D28" s="130"/>
      <c r="E28" s="141"/>
      <c r="F28" s="158"/>
      <c r="G28" s="145"/>
      <c r="H28" s="145"/>
      <c r="I28" s="145"/>
      <c r="J28" s="243"/>
      <c r="K28" s="127"/>
      <c r="L28" s="151"/>
      <c r="M28" s="137"/>
      <c r="N28" s="118"/>
      <c r="O28" s="140"/>
    </row>
    <row r="29" spans="1:15" ht="15.75" customHeight="1">
      <c r="A29" s="63"/>
      <c r="B29" s="83"/>
      <c r="C29" s="84"/>
      <c r="D29" s="58"/>
      <c r="E29" s="82"/>
      <c r="F29" s="159"/>
      <c r="G29" s="59"/>
      <c r="H29" s="59"/>
      <c r="I29" s="59"/>
      <c r="J29" s="244"/>
      <c r="K29" s="68"/>
      <c r="L29" s="152"/>
      <c r="M29" s="59"/>
      <c r="N29" s="118"/>
      <c r="O29" s="69"/>
    </row>
    <row r="30" spans="1:15" ht="15.75" customHeight="1">
      <c r="A30" s="63"/>
      <c r="B30" s="83"/>
      <c r="C30" s="84"/>
      <c r="D30" s="58"/>
      <c r="E30" s="82"/>
      <c r="F30" s="159"/>
      <c r="G30" s="59"/>
      <c r="H30" s="59"/>
      <c r="I30" s="59"/>
      <c r="J30" s="244"/>
      <c r="K30" s="68"/>
      <c r="L30" s="118"/>
      <c r="M30" s="59"/>
      <c r="N30" s="118"/>
      <c r="O30" s="69"/>
    </row>
    <row r="31" spans="1:15" ht="15.75" customHeight="1">
      <c r="A31" s="63"/>
      <c r="B31" s="83"/>
      <c r="C31" s="84"/>
      <c r="D31" s="58"/>
      <c r="E31" s="86"/>
      <c r="F31" s="159"/>
      <c r="G31" s="59"/>
      <c r="H31" s="59"/>
      <c r="I31" s="59"/>
      <c r="J31" s="244"/>
      <c r="K31" s="68"/>
      <c r="L31" s="118"/>
      <c r="M31" s="59"/>
      <c r="N31" s="118"/>
      <c r="O31" s="69"/>
    </row>
    <row r="32" spans="1:15" ht="15.75" customHeight="1">
      <c r="A32" s="63"/>
      <c r="B32" s="83"/>
      <c r="C32" s="84"/>
      <c r="D32" s="58"/>
      <c r="E32" s="85"/>
      <c r="F32" s="159"/>
      <c r="G32" s="59"/>
      <c r="H32" s="59"/>
      <c r="I32" s="59"/>
      <c r="J32" s="244"/>
      <c r="K32" s="68"/>
      <c r="L32" s="118"/>
      <c r="M32" s="59"/>
      <c r="N32" s="118"/>
      <c r="O32" s="69"/>
    </row>
    <row r="33" spans="1:15" ht="15.75" customHeight="1">
      <c r="A33" s="63"/>
      <c r="B33" s="83"/>
      <c r="C33" s="84"/>
      <c r="D33" s="58"/>
      <c r="E33" s="85"/>
      <c r="F33" s="87"/>
      <c r="G33" s="87"/>
      <c r="H33" s="87"/>
      <c r="I33" s="87"/>
      <c r="J33" s="245"/>
      <c r="K33" s="68"/>
      <c r="L33" s="118"/>
      <c r="M33" s="59"/>
      <c r="N33" s="160"/>
    </row>
    <row r="34" spans="1:15" ht="15.75" customHeight="1">
      <c r="A34" s="63"/>
      <c r="B34" s="83"/>
      <c r="C34" s="84"/>
      <c r="D34" s="58"/>
      <c r="E34" s="82"/>
      <c r="F34" s="59"/>
      <c r="G34" s="59"/>
      <c r="H34" s="59"/>
      <c r="I34" s="59"/>
      <c r="J34" s="244"/>
      <c r="K34" s="68"/>
      <c r="L34" s="118"/>
      <c r="M34" s="59"/>
      <c r="N34" s="118"/>
      <c r="O34" s="62"/>
    </row>
    <row r="35" spans="1:15" ht="15.75" customHeight="1">
      <c r="A35" s="63"/>
      <c r="B35" s="83"/>
      <c r="C35" s="84"/>
      <c r="D35" s="58"/>
      <c r="E35" s="82"/>
      <c r="F35" s="59"/>
      <c r="G35" s="59"/>
      <c r="H35" s="59"/>
      <c r="I35" s="59"/>
      <c r="J35" s="244"/>
      <c r="K35" s="68"/>
      <c r="L35" s="118"/>
      <c r="M35" s="59"/>
      <c r="N35" s="118"/>
      <c r="O35" s="72"/>
    </row>
    <row r="36" spans="1:15" ht="15.75" customHeight="1">
      <c r="A36" s="63"/>
      <c r="B36" s="83"/>
      <c r="C36" s="84"/>
      <c r="D36" s="58"/>
      <c r="E36" s="82"/>
      <c r="F36" s="59"/>
      <c r="G36" s="59"/>
      <c r="H36" s="59"/>
      <c r="I36" s="59"/>
      <c r="J36" s="244"/>
      <c r="K36" s="68"/>
      <c r="L36" s="118"/>
      <c r="M36" s="59"/>
      <c r="N36" s="118"/>
      <c r="O36" s="69"/>
    </row>
    <row r="37" spans="1:15" ht="15.75" customHeight="1">
      <c r="A37" s="63"/>
      <c r="B37" s="83"/>
      <c r="C37" s="84"/>
      <c r="D37" s="58"/>
      <c r="E37" s="85"/>
      <c r="F37" s="59"/>
      <c r="G37" s="59"/>
      <c r="H37" s="59"/>
      <c r="I37" s="59"/>
      <c r="J37" s="244"/>
      <c r="K37" s="68"/>
      <c r="L37" s="118"/>
      <c r="M37" s="59"/>
      <c r="N37" s="118"/>
      <c r="O37" s="69"/>
    </row>
    <row r="38" spans="1:15" ht="15.75" customHeight="1">
      <c r="A38" s="63"/>
      <c r="B38" s="83"/>
      <c r="C38" s="84"/>
      <c r="D38" s="58"/>
      <c r="E38" s="82"/>
      <c r="F38" s="59"/>
      <c r="G38" s="59"/>
      <c r="H38" s="59"/>
      <c r="I38" s="59"/>
      <c r="J38" s="244"/>
      <c r="K38" s="68"/>
      <c r="L38" s="118"/>
      <c r="M38" s="59"/>
      <c r="N38" s="118"/>
      <c r="O38" s="69"/>
    </row>
    <row r="39" spans="1:15" ht="15.75" customHeight="1">
      <c r="A39" s="63"/>
      <c r="B39" s="83"/>
      <c r="C39" s="84"/>
      <c r="D39" s="58"/>
      <c r="E39" s="82"/>
      <c r="F39" s="59"/>
      <c r="G39" s="59"/>
      <c r="H39" s="59"/>
      <c r="I39" s="59"/>
      <c r="J39" s="244"/>
      <c r="K39" s="68"/>
      <c r="L39" s="118"/>
      <c r="M39" s="59"/>
      <c r="N39" s="118"/>
      <c r="O39" s="69"/>
    </row>
    <row r="40" spans="1:15" ht="15.75" customHeight="1">
      <c r="A40" s="63"/>
      <c r="B40" s="83"/>
      <c r="C40" s="84"/>
      <c r="D40" s="58"/>
      <c r="E40" s="82"/>
      <c r="F40" s="59"/>
      <c r="G40" s="59"/>
      <c r="H40" s="59"/>
      <c r="I40" s="59"/>
      <c r="J40" s="244"/>
      <c r="K40" s="68"/>
      <c r="L40" s="118"/>
      <c r="M40" s="59"/>
      <c r="N40" s="118"/>
      <c r="O40" s="69"/>
    </row>
    <row r="41" spans="1:15" ht="15.75" customHeight="1">
      <c r="A41" s="63"/>
      <c r="B41" s="83"/>
      <c r="C41" s="84"/>
      <c r="D41" s="58"/>
      <c r="E41" s="82"/>
      <c r="F41" s="59"/>
      <c r="G41" s="59"/>
      <c r="H41" s="59"/>
      <c r="I41" s="59"/>
      <c r="J41" s="244"/>
      <c r="K41" s="68"/>
      <c r="L41" s="118"/>
      <c r="M41" s="59"/>
      <c r="N41" s="118"/>
      <c r="O41" s="69"/>
    </row>
    <row r="42" spans="1:15" ht="15.75" customHeight="1">
      <c r="A42" s="88"/>
      <c r="B42" s="89"/>
      <c r="C42" s="90"/>
      <c r="D42" s="91"/>
      <c r="E42" s="92"/>
      <c r="F42" s="93"/>
      <c r="G42" s="93"/>
      <c r="H42" s="94"/>
      <c r="I42" s="94"/>
      <c r="J42" s="246"/>
      <c r="K42" s="95"/>
      <c r="L42" s="119"/>
      <c r="M42" s="94"/>
      <c r="N42" s="119"/>
      <c r="O42" s="69"/>
    </row>
    <row r="43" spans="1:15" ht="15.75" customHeight="1">
      <c r="A43" s="96"/>
      <c r="B43" s="96"/>
      <c r="C43" s="96"/>
      <c r="D43" s="96"/>
      <c r="E43" s="96"/>
      <c r="F43" s="96"/>
      <c r="G43" s="96"/>
      <c r="H43" s="96"/>
      <c r="I43" s="96"/>
      <c r="J43" s="247"/>
      <c r="K43" s="98">
        <f>SUM(K2:K42)</f>
        <v>47720</v>
      </c>
      <c r="L43" s="98"/>
      <c r="M43" s="97" t="s">
        <v>123</v>
      </c>
      <c r="N43" s="98"/>
      <c r="O43" s="99"/>
    </row>
    <row r="44" spans="1:15" ht="15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248"/>
      <c r="K44" s="98">
        <f>SUMIF(K2:K42,M44,K2:K42)</f>
        <v>0</v>
      </c>
      <c r="L44" s="98"/>
      <c r="M44" s="101" t="s">
        <v>179</v>
      </c>
      <c r="N44" s="98"/>
      <c r="O44" s="99"/>
    </row>
    <row r="45" spans="1:15" ht="15.75" customHeight="1">
      <c r="A45" s="102"/>
      <c r="B45" s="102"/>
      <c r="C45" s="102"/>
      <c r="D45" s="102"/>
      <c r="E45" s="102"/>
      <c r="F45" s="102"/>
      <c r="G45" s="102"/>
      <c r="H45" s="102"/>
      <c r="I45" s="102"/>
      <c r="J45" s="249"/>
      <c r="K45" s="98">
        <f>SUMIF(K2:K42,M45,K2:K42)</f>
        <v>0</v>
      </c>
      <c r="L45" s="98"/>
      <c r="M45" s="103" t="s">
        <v>183</v>
      </c>
      <c r="N45" s="98"/>
      <c r="O45" s="99"/>
    </row>
    <row r="46" spans="1:15" ht="15.75" hidden="1" customHeight="1">
      <c r="A46" s="104">
        <v>33</v>
      </c>
      <c r="B46" s="57"/>
      <c r="C46" s="105"/>
      <c r="D46" s="106"/>
      <c r="E46" s="107"/>
      <c r="F46" s="107"/>
      <c r="G46" s="107"/>
      <c r="H46" s="107"/>
      <c r="I46" s="107"/>
      <c r="J46" s="250"/>
      <c r="K46" s="67"/>
      <c r="L46" s="115"/>
      <c r="M46" s="107"/>
      <c r="N46" s="115"/>
      <c r="O46" s="69"/>
    </row>
    <row r="47" spans="1:15" ht="15.75" hidden="1" customHeight="1">
      <c r="A47" s="63">
        <v>34</v>
      </c>
      <c r="B47" s="64"/>
      <c r="C47" s="108"/>
      <c r="D47" s="58"/>
      <c r="E47" s="59"/>
      <c r="F47" s="59"/>
      <c r="G47" s="59"/>
      <c r="H47" s="59"/>
      <c r="I47" s="59"/>
      <c r="J47" s="244"/>
      <c r="K47" s="68"/>
      <c r="L47" s="99"/>
      <c r="M47" s="59"/>
      <c r="N47" s="99"/>
      <c r="O47" s="72"/>
    </row>
    <row r="48" spans="1:15" ht="15.75" hidden="1" customHeight="1">
      <c r="A48" s="63">
        <v>35</v>
      </c>
      <c r="B48" s="64"/>
      <c r="C48" s="108"/>
      <c r="D48" s="58"/>
      <c r="E48" s="59"/>
      <c r="F48" s="59"/>
      <c r="G48" s="59"/>
      <c r="H48" s="59"/>
      <c r="I48" s="59"/>
      <c r="J48" s="244"/>
      <c r="K48" s="68"/>
      <c r="L48" s="99"/>
      <c r="M48" s="59"/>
      <c r="N48" s="99"/>
      <c r="O48" s="72"/>
    </row>
    <row r="49" spans="1:15" ht="15.75" hidden="1" customHeight="1">
      <c r="A49" s="63">
        <v>36</v>
      </c>
      <c r="B49" s="64"/>
      <c r="C49" s="108"/>
      <c r="D49" s="58"/>
      <c r="E49" s="60"/>
      <c r="F49" s="59"/>
      <c r="G49" s="59"/>
      <c r="H49" s="59"/>
      <c r="I49" s="59"/>
      <c r="J49" s="244"/>
      <c r="K49" s="68"/>
      <c r="L49" s="99"/>
      <c r="M49" s="59"/>
      <c r="N49" s="99"/>
      <c r="O49" s="72"/>
    </row>
    <row r="50" spans="1:15" ht="15.75" hidden="1" customHeight="1">
      <c r="A50" s="63">
        <v>37</v>
      </c>
      <c r="B50" s="64"/>
      <c r="C50" s="108"/>
      <c r="D50" s="58"/>
      <c r="E50" s="59"/>
      <c r="F50" s="59"/>
      <c r="G50" s="59"/>
      <c r="H50" s="59"/>
      <c r="I50" s="59"/>
      <c r="J50" s="244"/>
      <c r="K50" s="68"/>
      <c r="L50" s="99"/>
      <c r="M50" s="59"/>
      <c r="N50" s="99"/>
      <c r="O50" s="72"/>
    </row>
    <row r="51" spans="1:15" ht="15.75" hidden="1" customHeight="1">
      <c r="A51" s="63">
        <v>38</v>
      </c>
      <c r="B51" s="64"/>
      <c r="C51" s="108"/>
      <c r="D51" s="58"/>
      <c r="E51" s="59"/>
      <c r="F51" s="59"/>
      <c r="G51" s="59"/>
      <c r="H51" s="59"/>
      <c r="I51" s="59"/>
      <c r="J51" s="244"/>
      <c r="K51" s="68"/>
      <c r="L51" s="99"/>
      <c r="M51" s="59"/>
      <c r="N51" s="99"/>
      <c r="O51" s="72"/>
    </row>
    <row r="52" spans="1:15" ht="15.75" hidden="1" customHeight="1">
      <c r="A52" s="63">
        <v>39</v>
      </c>
      <c r="B52" s="64"/>
      <c r="C52" s="108"/>
      <c r="D52" s="58"/>
      <c r="E52" s="59"/>
      <c r="F52" s="59"/>
      <c r="G52" s="59"/>
      <c r="H52" s="59"/>
      <c r="I52" s="59"/>
      <c r="J52" s="244"/>
      <c r="K52" s="68"/>
      <c r="L52" s="99"/>
      <c r="M52" s="59"/>
      <c r="N52" s="99"/>
      <c r="O52" s="72"/>
    </row>
    <row r="53" spans="1:15" ht="15.75" hidden="1" customHeight="1">
      <c r="A53" s="63">
        <v>40</v>
      </c>
      <c r="B53" s="64"/>
      <c r="C53" s="108"/>
      <c r="D53" s="58"/>
      <c r="E53" s="59"/>
      <c r="F53" s="59"/>
      <c r="G53" s="59"/>
      <c r="H53" s="59"/>
      <c r="I53" s="59"/>
      <c r="J53" s="244"/>
      <c r="K53" s="68"/>
      <c r="L53" s="99"/>
      <c r="M53" s="59"/>
      <c r="N53" s="99"/>
      <c r="O53" s="72"/>
    </row>
    <row r="54" spans="1:15" ht="15.75" hidden="1" customHeight="1">
      <c r="A54" s="63">
        <v>41</v>
      </c>
      <c r="B54" s="64"/>
      <c r="C54" s="108"/>
      <c r="D54" s="58"/>
      <c r="E54" s="60"/>
      <c r="F54" s="59"/>
      <c r="G54" s="59"/>
      <c r="H54" s="59"/>
      <c r="I54" s="59"/>
      <c r="J54" s="244"/>
      <c r="K54" s="68"/>
      <c r="L54" s="99"/>
      <c r="M54" s="59"/>
      <c r="N54" s="99"/>
      <c r="O54" s="72"/>
    </row>
    <row r="55" spans="1:15" ht="15.75" hidden="1" customHeight="1">
      <c r="A55" s="63">
        <v>42</v>
      </c>
      <c r="B55" s="64"/>
      <c r="C55" s="108"/>
      <c r="D55" s="58"/>
      <c r="E55" s="59"/>
      <c r="F55" s="59"/>
      <c r="G55" s="59"/>
      <c r="H55" s="59"/>
      <c r="I55" s="59"/>
      <c r="J55" s="244"/>
      <c r="K55" s="68"/>
      <c r="L55" s="99"/>
      <c r="M55" s="59"/>
      <c r="N55" s="99"/>
      <c r="O55" s="72"/>
    </row>
    <row r="56" spans="1:15" ht="15.75" hidden="1" customHeight="1">
      <c r="A56" s="63">
        <v>43</v>
      </c>
      <c r="B56" s="64"/>
      <c r="C56" s="109"/>
      <c r="D56" s="73"/>
      <c r="E56" s="59"/>
      <c r="F56" s="74"/>
      <c r="G56" s="74"/>
      <c r="H56" s="74"/>
      <c r="I56" s="74"/>
      <c r="J56" s="251"/>
      <c r="K56" s="75"/>
      <c r="L56" s="116"/>
      <c r="M56" s="74"/>
      <c r="N56" s="116"/>
      <c r="O56" s="76"/>
    </row>
    <row r="57" spans="1:15" ht="15.75" hidden="1" customHeight="1">
      <c r="A57" s="63">
        <v>44</v>
      </c>
      <c r="B57" s="64"/>
      <c r="C57" s="108"/>
      <c r="D57" s="58"/>
      <c r="E57" s="59"/>
      <c r="F57" s="59"/>
      <c r="G57" s="59"/>
      <c r="H57" s="59"/>
      <c r="I57" s="59"/>
      <c r="J57" s="244"/>
      <c r="K57" s="68"/>
      <c r="L57" s="99"/>
      <c r="M57" s="59"/>
      <c r="N57" s="99"/>
      <c r="O57" s="72"/>
    </row>
    <row r="58" spans="1:15" ht="15.75" hidden="1" customHeight="1">
      <c r="A58" s="63">
        <v>45</v>
      </c>
      <c r="B58" s="64"/>
      <c r="C58" s="108"/>
      <c r="D58" s="58"/>
      <c r="E58" s="59"/>
      <c r="F58" s="59"/>
      <c r="G58" s="59"/>
      <c r="H58" s="59"/>
      <c r="I58" s="59"/>
      <c r="J58" s="244"/>
      <c r="K58" s="68"/>
      <c r="L58" s="99"/>
      <c r="M58" s="59"/>
      <c r="N58" s="99"/>
      <c r="O58" s="72"/>
    </row>
    <row r="59" spans="1:15" ht="15.75" hidden="1" customHeight="1">
      <c r="A59" s="63">
        <v>46</v>
      </c>
      <c r="B59" s="64"/>
      <c r="C59" s="108"/>
      <c r="D59" s="58"/>
      <c r="E59" s="60"/>
      <c r="F59" s="59"/>
      <c r="G59" s="59"/>
      <c r="H59" s="59"/>
      <c r="I59" s="59"/>
      <c r="J59" s="244"/>
      <c r="K59" s="77"/>
      <c r="L59" s="117"/>
      <c r="M59" s="59"/>
      <c r="N59" s="117"/>
      <c r="O59" s="72"/>
    </row>
    <row r="60" spans="1:15" ht="15.75" hidden="1" customHeight="1">
      <c r="A60" s="63">
        <v>47</v>
      </c>
      <c r="B60" s="64"/>
      <c r="C60" s="108"/>
      <c r="D60" s="58"/>
      <c r="E60" s="59"/>
      <c r="F60" s="59"/>
      <c r="G60" s="59"/>
      <c r="H60" s="59"/>
      <c r="I60" s="59"/>
      <c r="J60" s="244"/>
      <c r="K60" s="68"/>
      <c r="L60" s="99"/>
      <c r="M60" s="59"/>
      <c r="N60" s="99"/>
      <c r="O60" s="72"/>
    </row>
    <row r="61" spans="1:15" ht="15.75" hidden="1" customHeight="1">
      <c r="A61" s="63">
        <v>48</v>
      </c>
      <c r="B61" s="64"/>
      <c r="C61" s="108"/>
      <c r="D61" s="58"/>
      <c r="E61" s="59"/>
      <c r="F61" s="59"/>
      <c r="G61" s="59"/>
      <c r="H61" s="59"/>
      <c r="I61" s="59"/>
      <c r="J61" s="244"/>
      <c r="K61" s="68"/>
      <c r="L61" s="99"/>
      <c r="M61" s="59"/>
      <c r="N61" s="99"/>
      <c r="O61" s="72"/>
    </row>
    <row r="62" spans="1:15" ht="15.75" hidden="1" customHeight="1">
      <c r="A62" s="63">
        <v>49</v>
      </c>
      <c r="B62" s="64"/>
      <c r="C62" s="108"/>
      <c r="D62" s="58"/>
      <c r="E62" s="59"/>
      <c r="F62" s="59"/>
      <c r="G62" s="59"/>
      <c r="H62" s="59"/>
      <c r="I62" s="59"/>
      <c r="J62" s="244"/>
      <c r="K62" s="68"/>
      <c r="L62" s="99"/>
      <c r="M62" s="59"/>
      <c r="N62" s="99"/>
      <c r="O62" s="72"/>
    </row>
    <row r="63" spans="1:15" ht="15.75" hidden="1" customHeight="1">
      <c r="A63" s="63">
        <v>50</v>
      </c>
      <c r="B63" s="64"/>
      <c r="C63" s="108"/>
      <c r="D63" s="58"/>
      <c r="E63" s="59"/>
      <c r="F63" s="59"/>
      <c r="G63" s="59"/>
      <c r="H63" s="59"/>
      <c r="I63" s="59"/>
      <c r="J63" s="244"/>
      <c r="K63" s="68"/>
      <c r="L63" s="99"/>
      <c r="M63" s="59"/>
      <c r="N63" s="99"/>
      <c r="O63" s="72"/>
    </row>
    <row r="64" spans="1:15" ht="15.75" hidden="1" customHeight="1">
      <c r="A64" s="63">
        <v>51</v>
      </c>
      <c r="B64" s="64"/>
      <c r="C64" s="108"/>
      <c r="D64" s="58"/>
      <c r="E64" s="60"/>
      <c r="F64" s="59"/>
      <c r="G64" s="59"/>
      <c r="H64" s="59"/>
      <c r="I64" s="59"/>
      <c r="J64" s="244"/>
      <c r="K64" s="68"/>
      <c r="L64" s="99"/>
      <c r="M64" s="59"/>
      <c r="N64" s="99"/>
      <c r="O64" s="72"/>
    </row>
    <row r="65" spans="1:15" ht="15.75" hidden="1" customHeight="1">
      <c r="A65" s="63">
        <v>52</v>
      </c>
      <c r="B65" s="64"/>
      <c r="C65" s="108"/>
      <c r="D65" s="58"/>
      <c r="E65" s="59"/>
      <c r="F65" s="59"/>
      <c r="G65" s="59"/>
      <c r="H65" s="59"/>
      <c r="I65" s="59"/>
      <c r="J65" s="244"/>
      <c r="K65" s="68"/>
      <c r="L65" s="99"/>
      <c r="M65" s="59"/>
      <c r="N65" s="99"/>
      <c r="O65" s="72"/>
    </row>
    <row r="66" spans="1:15" ht="15.75" hidden="1" customHeight="1">
      <c r="A66" s="63">
        <v>53</v>
      </c>
      <c r="B66" s="64"/>
      <c r="C66" s="108"/>
      <c r="D66" s="58"/>
      <c r="E66" s="59"/>
      <c r="F66" s="59"/>
      <c r="G66" s="59"/>
      <c r="H66" s="59"/>
      <c r="I66" s="59"/>
      <c r="J66" s="244"/>
      <c r="K66" s="68"/>
      <c r="L66" s="99"/>
      <c r="M66" s="59"/>
      <c r="N66" s="99"/>
      <c r="O66" s="72"/>
    </row>
    <row r="67" spans="1:15" ht="15.75" hidden="1" customHeight="1">
      <c r="A67" s="63">
        <v>54</v>
      </c>
      <c r="B67" s="64"/>
      <c r="C67" s="108"/>
      <c r="D67" s="58"/>
      <c r="E67" s="59"/>
      <c r="F67" s="59"/>
      <c r="G67" s="59"/>
      <c r="H67" s="59"/>
      <c r="I67" s="59"/>
      <c r="J67" s="244"/>
      <c r="K67" s="68"/>
      <c r="L67" s="99"/>
      <c r="M67" s="59"/>
      <c r="N67" s="99"/>
      <c r="O67" s="72"/>
    </row>
    <row r="68" spans="1:15" ht="15.75" hidden="1" customHeight="1">
      <c r="A68" s="63">
        <v>55</v>
      </c>
      <c r="B68" s="64"/>
      <c r="C68" s="110"/>
      <c r="D68" s="78"/>
      <c r="E68" s="59"/>
      <c r="F68" s="79"/>
      <c r="G68" s="79"/>
      <c r="H68" s="79"/>
      <c r="I68" s="79"/>
      <c r="J68" s="252"/>
      <c r="K68" s="68"/>
      <c r="L68" s="99"/>
      <c r="M68" s="79"/>
      <c r="N68" s="99"/>
      <c r="O68" s="80"/>
    </row>
    <row r="69" spans="1:15" ht="15.75" hidden="1" customHeight="1">
      <c r="A69" s="63">
        <v>56</v>
      </c>
      <c r="B69" s="64"/>
      <c r="C69" s="110"/>
      <c r="D69" s="78"/>
      <c r="E69" s="79"/>
      <c r="F69" s="79"/>
      <c r="G69" s="79"/>
      <c r="H69" s="79"/>
      <c r="I69" s="79"/>
      <c r="J69" s="252"/>
      <c r="K69" s="68"/>
      <c r="L69" s="99"/>
      <c r="M69" s="79"/>
      <c r="N69" s="99"/>
      <c r="O69" s="80"/>
    </row>
    <row r="70" spans="1:15" ht="15.75" hidden="1" customHeight="1">
      <c r="A70" s="63">
        <v>57</v>
      </c>
      <c r="B70" s="64"/>
      <c r="C70" s="110"/>
      <c r="D70" s="78"/>
      <c r="E70" s="79"/>
      <c r="F70" s="79"/>
      <c r="G70" s="79"/>
      <c r="H70" s="79"/>
      <c r="I70" s="79"/>
      <c r="J70" s="252"/>
      <c r="K70" s="68"/>
      <c r="L70" s="99"/>
      <c r="M70" s="79"/>
      <c r="N70" s="99"/>
      <c r="O70" s="80"/>
    </row>
    <row r="71" spans="1:15" ht="15.75" hidden="1" customHeight="1">
      <c r="A71" s="63">
        <v>58</v>
      </c>
      <c r="B71" s="64"/>
      <c r="C71" s="110"/>
      <c r="D71" s="78"/>
      <c r="E71" s="79"/>
      <c r="F71" s="79"/>
      <c r="G71" s="79"/>
      <c r="H71" s="79"/>
      <c r="I71" s="79"/>
      <c r="J71" s="252"/>
      <c r="K71" s="68"/>
      <c r="L71" s="99"/>
      <c r="M71" s="79"/>
      <c r="N71" s="99"/>
      <c r="O71" s="80"/>
    </row>
    <row r="72" spans="1:15" ht="15.75" hidden="1" customHeight="1">
      <c r="A72" s="63">
        <v>59</v>
      </c>
      <c r="B72" s="64"/>
      <c r="C72" s="110"/>
      <c r="D72" s="78"/>
      <c r="E72" s="79"/>
      <c r="F72" s="79"/>
      <c r="G72" s="79"/>
      <c r="H72" s="79"/>
      <c r="I72" s="79"/>
      <c r="J72" s="252"/>
      <c r="K72" s="68"/>
      <c r="L72" s="99"/>
      <c r="M72" s="79"/>
      <c r="N72" s="99"/>
      <c r="O72" s="80"/>
    </row>
    <row r="73" spans="1:15" ht="15" customHeight="1">
      <c r="J73" s="253"/>
    </row>
    <row r="74" spans="1:15" ht="15" customHeight="1">
      <c r="J74" s="253"/>
    </row>
    <row r="75" spans="1:15" ht="15" customHeight="1">
      <c r="J75" s="253"/>
    </row>
    <row r="76" spans="1:15" ht="15" customHeight="1">
      <c r="J76" s="253"/>
    </row>
    <row r="77" spans="1:15" ht="15" customHeight="1">
      <c r="J77" s="253"/>
    </row>
    <row r="78" spans="1:15" ht="15" customHeight="1">
      <c r="J78" s="253"/>
    </row>
    <row r="79" spans="1:15" ht="15" customHeight="1">
      <c r="J79" s="253"/>
    </row>
    <row r="80" spans="1:15" ht="15" customHeight="1">
      <c r="J80" s="253"/>
    </row>
    <row r="81" spans="10:10" ht="15" customHeight="1">
      <c r="J81" s="253"/>
    </row>
    <row r="82" spans="10:10" ht="15" customHeight="1">
      <c r="J82" s="253"/>
    </row>
    <row r="83" spans="10:10" ht="15" customHeight="1">
      <c r="J83" s="253"/>
    </row>
    <row r="84" spans="10:10" ht="15" customHeight="1">
      <c r="J84" s="253"/>
    </row>
    <row r="85" spans="10:10" ht="15" customHeight="1">
      <c r="J85" s="253"/>
    </row>
    <row r="86" spans="10:10" ht="15" customHeight="1">
      <c r="J86" s="253"/>
    </row>
    <row r="87" spans="10:10" ht="15" customHeight="1">
      <c r="J87" s="253"/>
    </row>
    <row r="88" spans="10:10" ht="15" customHeight="1">
      <c r="J88" s="253"/>
    </row>
    <row r="89" spans="10:10" ht="15" customHeight="1">
      <c r="J89" s="253"/>
    </row>
    <row r="90" spans="10:10" ht="15" customHeight="1">
      <c r="J90" s="253"/>
    </row>
    <row r="91" spans="10:10" ht="15" customHeight="1">
      <c r="J91" s="253"/>
    </row>
    <row r="92" spans="10:10" ht="15" customHeight="1">
      <c r="J92" s="253"/>
    </row>
    <row r="93" spans="10:10" ht="15" customHeight="1">
      <c r="J93" s="253"/>
    </row>
    <row r="94" spans="10:10" ht="15" customHeight="1">
      <c r="J94" s="253"/>
    </row>
    <row r="95" spans="10:10" ht="15" customHeight="1">
      <c r="J95" s="253"/>
    </row>
    <row r="96" spans="10:10" ht="15" customHeight="1">
      <c r="J96" s="253"/>
    </row>
    <row r="97" spans="10:10" ht="15" customHeight="1">
      <c r="J97" s="253"/>
    </row>
    <row r="98" spans="10:10" ht="15" customHeight="1">
      <c r="J98" s="253"/>
    </row>
    <row r="99" spans="10:10" ht="15" customHeight="1">
      <c r="J99" s="253"/>
    </row>
    <row r="100" spans="10:10" ht="15" customHeight="1">
      <c r="J100" s="253"/>
    </row>
    <row r="101" spans="10:10" ht="15" customHeight="1">
      <c r="J101" s="253"/>
    </row>
    <row r="102" spans="10:10" ht="15" customHeight="1">
      <c r="J102" s="253"/>
    </row>
    <row r="103" spans="10:10" ht="15" customHeight="1">
      <c r="J103" s="253"/>
    </row>
    <row r="104" spans="10:10" ht="15" customHeight="1">
      <c r="J104" s="253"/>
    </row>
    <row r="105" spans="10:10" ht="15" customHeight="1">
      <c r="J105" s="253"/>
    </row>
    <row r="106" spans="10:10" ht="15" customHeight="1">
      <c r="J106" s="253"/>
    </row>
    <row r="107" spans="10:10" ht="15" customHeight="1">
      <c r="J107" s="253"/>
    </row>
    <row r="108" spans="10:10" ht="15" customHeight="1">
      <c r="J108" s="253"/>
    </row>
    <row r="109" spans="10:10" ht="15" customHeight="1">
      <c r="J109" s="253"/>
    </row>
    <row r="110" spans="10:10" ht="15" customHeight="1">
      <c r="J110" s="253"/>
    </row>
    <row r="111" spans="10:10" ht="15" customHeight="1">
      <c r="J111" s="253"/>
    </row>
    <row r="112" spans="10:10" ht="15" customHeight="1">
      <c r="J112" s="253"/>
    </row>
    <row r="113" spans="10:10" ht="15" customHeight="1">
      <c r="J113" s="253"/>
    </row>
    <row r="114" spans="10:10" ht="15" customHeight="1">
      <c r="J114" s="253"/>
    </row>
    <row r="115" spans="10:10" ht="15" customHeight="1">
      <c r="J115" s="253"/>
    </row>
    <row r="116" spans="10:10" ht="15" customHeight="1">
      <c r="J116" s="253"/>
    </row>
    <row r="117" spans="10:10" ht="15" customHeight="1">
      <c r="J117" s="253"/>
    </row>
    <row r="118" spans="10:10" ht="15" customHeight="1">
      <c r="J118" s="253"/>
    </row>
    <row r="119" spans="10:10" ht="15" customHeight="1">
      <c r="J119" s="253"/>
    </row>
    <row r="120" spans="10:10" ht="15" customHeight="1">
      <c r="J120" s="253"/>
    </row>
    <row r="121" spans="10:10" ht="15" customHeight="1">
      <c r="J121" s="253"/>
    </row>
    <row r="122" spans="10:10" ht="15" customHeight="1">
      <c r="J122" s="253"/>
    </row>
    <row r="123" spans="10:10" ht="15" customHeight="1">
      <c r="J123" s="253"/>
    </row>
    <row r="124" spans="10:10" ht="15" customHeight="1">
      <c r="J124" s="253"/>
    </row>
    <row r="125" spans="10:10" ht="15" customHeight="1">
      <c r="J125" s="253"/>
    </row>
    <row r="126" spans="10:10" ht="15" customHeight="1">
      <c r="J126" s="253"/>
    </row>
    <row r="127" spans="10:10" ht="15" customHeight="1">
      <c r="J127" s="253"/>
    </row>
    <row r="128" spans="10:10" ht="15" customHeight="1">
      <c r="J128" s="253"/>
    </row>
    <row r="129" spans="10:10" ht="15" customHeight="1">
      <c r="J129" s="253"/>
    </row>
    <row r="130" spans="10:10" ht="15" customHeight="1">
      <c r="J130" s="253"/>
    </row>
    <row r="131" spans="10:10" ht="15" customHeight="1">
      <c r="J131" s="253"/>
    </row>
    <row r="132" spans="10:10" ht="15" customHeight="1">
      <c r="J132" s="253"/>
    </row>
    <row r="133" spans="10:10" ht="15" customHeight="1">
      <c r="J133" s="253"/>
    </row>
    <row r="134" spans="10:10" ht="15" customHeight="1">
      <c r="J134" s="253"/>
    </row>
    <row r="135" spans="10:10" ht="15" customHeight="1">
      <c r="J135" s="253"/>
    </row>
    <row r="136" spans="10:10" ht="15" customHeight="1">
      <c r="J136" s="253"/>
    </row>
    <row r="137" spans="10:10" ht="15" customHeight="1">
      <c r="J137" s="253"/>
    </row>
    <row r="138" spans="10:10" ht="15" customHeight="1">
      <c r="J138" s="253"/>
    </row>
    <row r="139" spans="10:10" ht="15" customHeight="1">
      <c r="J139" s="253"/>
    </row>
    <row r="140" spans="10:10" ht="15" customHeight="1">
      <c r="J140" s="253"/>
    </row>
    <row r="141" spans="10:10" ht="15" customHeight="1">
      <c r="J141" s="253"/>
    </row>
    <row r="142" spans="10:10" ht="15" customHeight="1">
      <c r="J142" s="253"/>
    </row>
    <row r="143" spans="10:10" ht="15" customHeight="1">
      <c r="J143" s="253"/>
    </row>
    <row r="144" spans="10:10" ht="15" customHeight="1">
      <c r="J144" s="253"/>
    </row>
    <row r="145" spans="10:10" ht="15" customHeight="1">
      <c r="J145" s="253"/>
    </row>
    <row r="146" spans="10:10" ht="15" customHeight="1">
      <c r="J146" s="253"/>
    </row>
    <row r="147" spans="10:10" ht="15" customHeight="1">
      <c r="J147" s="253"/>
    </row>
    <row r="148" spans="10:10" ht="15" customHeight="1">
      <c r="J148" s="253"/>
    </row>
    <row r="149" spans="10:10" ht="15" customHeight="1">
      <c r="J149" s="253"/>
    </row>
    <row r="150" spans="10:10" ht="15" customHeight="1">
      <c r="J150" s="253"/>
    </row>
    <row r="151" spans="10:10" ht="15" customHeight="1">
      <c r="J151" s="253"/>
    </row>
    <row r="152" spans="10:10" ht="15" customHeight="1">
      <c r="J152" s="253"/>
    </row>
    <row r="153" spans="10:10" ht="15" customHeight="1">
      <c r="J153" s="253"/>
    </row>
    <row r="154" spans="10:10" ht="15" customHeight="1">
      <c r="J154" s="253"/>
    </row>
    <row r="155" spans="10:10" ht="15" customHeight="1">
      <c r="J155" s="253"/>
    </row>
    <row r="156" spans="10:10" ht="15" customHeight="1">
      <c r="J156" s="253"/>
    </row>
    <row r="157" spans="10:10" ht="15" customHeight="1">
      <c r="J157" s="253"/>
    </row>
    <row r="158" spans="10:10" ht="15" customHeight="1">
      <c r="J158" s="253"/>
    </row>
    <row r="159" spans="10:10" ht="15" customHeight="1">
      <c r="J159" s="253"/>
    </row>
    <row r="160" spans="10:10" ht="15" customHeight="1">
      <c r="J160" s="253"/>
    </row>
    <row r="161" spans="10:10" ht="15" customHeight="1">
      <c r="J161" s="253"/>
    </row>
    <row r="162" spans="10:10" ht="15" customHeight="1">
      <c r="J162" s="253"/>
    </row>
    <row r="163" spans="10:10" ht="15" customHeight="1">
      <c r="J163" s="253"/>
    </row>
    <row r="164" spans="10:10" ht="15" customHeight="1">
      <c r="J164" s="253"/>
    </row>
    <row r="165" spans="10:10" ht="15" customHeight="1">
      <c r="J165" s="253"/>
    </row>
    <row r="166" spans="10:10" ht="15" customHeight="1">
      <c r="J166" s="253"/>
    </row>
    <row r="167" spans="10:10" ht="15" customHeight="1">
      <c r="J167" s="253"/>
    </row>
    <row r="168" spans="10:10" ht="15" customHeight="1">
      <c r="J168" s="253"/>
    </row>
    <row r="169" spans="10:10" ht="15" customHeight="1">
      <c r="J169" s="253"/>
    </row>
    <row r="170" spans="10:10" ht="15" customHeight="1">
      <c r="J170" s="253"/>
    </row>
    <row r="171" spans="10:10" ht="15" customHeight="1">
      <c r="J171" s="253"/>
    </row>
    <row r="172" spans="10:10" ht="15" customHeight="1">
      <c r="J172" s="253"/>
    </row>
    <row r="173" spans="10:10" ht="15" customHeight="1">
      <c r="J173" s="253"/>
    </row>
    <row r="174" spans="10:10" ht="15" customHeight="1">
      <c r="J174" s="253"/>
    </row>
    <row r="175" spans="10:10" ht="15" customHeight="1">
      <c r="J175" s="253"/>
    </row>
    <row r="176" spans="10:10" ht="15" customHeight="1">
      <c r="J176" s="253"/>
    </row>
    <row r="177" spans="10:10" ht="15" customHeight="1">
      <c r="J177" s="253"/>
    </row>
    <row r="178" spans="10:10" ht="15" customHeight="1">
      <c r="J178" s="253"/>
    </row>
    <row r="179" spans="10:10" ht="15" customHeight="1">
      <c r="J179" s="253"/>
    </row>
    <row r="180" spans="10:10" ht="15" customHeight="1">
      <c r="J180" s="253"/>
    </row>
    <row r="181" spans="10:10" ht="15" customHeight="1">
      <c r="J181" s="253"/>
    </row>
    <row r="182" spans="10:10" ht="15" customHeight="1">
      <c r="J182" s="253"/>
    </row>
    <row r="183" spans="10:10" ht="15" customHeight="1">
      <c r="J183" s="253"/>
    </row>
    <row r="184" spans="10:10" ht="15" customHeight="1">
      <c r="J184" s="253"/>
    </row>
    <row r="185" spans="10:10" ht="15" customHeight="1">
      <c r="J185" s="253"/>
    </row>
    <row r="265" spans="3:3" ht="15" customHeight="1">
      <c r="C265" t="s">
        <v>423</v>
      </c>
    </row>
  </sheetData>
  <conditionalFormatting sqref="M2:M42">
    <cfRule type="cellIs" dxfId="35" priority="1" operator="equal">
      <formula>"In Process"</formula>
    </cfRule>
    <cfRule type="cellIs" dxfId="34" priority="2" operator="equal">
      <formula>"Not Received"</formula>
    </cfRule>
    <cfRule type="cellIs" dxfId="33" priority="3" operator="equal">
      <formula>"Paid By Client"</formula>
    </cfRule>
    <cfRule type="cellIs" dxfId="32" priority="4" operator="equal">
      <formula>"Payment Received"</formula>
    </cfRule>
  </conditionalFormatting>
  <dataValidations count="1">
    <dataValidation type="list" allowBlank="1" showInputMessage="1" showErrorMessage="1" sqref="D2:D39" xr:uid="{00000000-0002-0000-0B00-000000000000}">
      <formula1>client</formula1>
    </dataValidation>
  </dataValidations>
  <hyperlinks>
    <hyperlink ref="N8" r:id="rId1" xr:uid="{00000000-0004-0000-0B00-000000000000}"/>
  </hyperlinks>
  <pageMargins left="0.7" right="0.7" top="0.75" bottom="0.75" header="0" footer="0"/>
  <pageSetup scale="84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5"/>
  <sheetViews>
    <sheetView topLeftCell="F1" workbookViewId="0">
      <pane ySplit="1" topLeftCell="A2" activePane="bottomLeft" state="frozen"/>
      <selection pane="bottomLeft" activeCell="V18" sqref="V18"/>
      <selection activeCell="V18" sqref="V18"/>
    </sheetView>
  </sheetViews>
  <sheetFormatPr defaultColWidth="14.42578125" defaultRowHeight="15" customHeight="1"/>
  <cols>
    <col min="1" max="1" width="8.7109375" customWidth="1"/>
    <col min="2" max="2" width="19" customWidth="1"/>
    <col min="3" max="3" width="19.7109375" customWidth="1"/>
    <col min="4" max="4" width="19.85546875" customWidth="1"/>
    <col min="5" max="5" width="52.140625" customWidth="1"/>
    <col min="6" max="6" width="24.7109375" customWidth="1"/>
    <col min="7" max="7" width="23" customWidth="1"/>
    <col min="8" max="8" width="26.140625" bestFit="1" customWidth="1"/>
    <col min="9" max="9" width="17.28515625" customWidth="1"/>
    <col min="10" max="10" width="20.85546875" customWidth="1"/>
    <col min="11" max="12" width="22.7109375" customWidth="1"/>
    <col min="13" max="13" width="21.42578125" customWidth="1"/>
    <col min="14" max="14" width="22.7109375" customWidth="1"/>
    <col min="15" max="15" width="85.28515625" customWidth="1"/>
  </cols>
  <sheetData>
    <row r="1" spans="1:28" ht="33" customHeight="1">
      <c r="A1" s="146" t="s">
        <v>15</v>
      </c>
      <c r="B1" s="149" t="s">
        <v>219</v>
      </c>
      <c r="C1" s="149" t="s">
        <v>220</v>
      </c>
      <c r="D1" s="147" t="s">
        <v>221</v>
      </c>
      <c r="E1" s="147" t="s">
        <v>222</v>
      </c>
      <c r="F1" s="147" t="s">
        <v>223</v>
      </c>
      <c r="G1" s="147" t="s">
        <v>224</v>
      </c>
      <c r="H1" s="147" t="s">
        <v>225</v>
      </c>
      <c r="I1" s="147" t="s">
        <v>226</v>
      </c>
      <c r="J1" s="149" t="s">
        <v>330</v>
      </c>
      <c r="K1" s="146" t="s">
        <v>227</v>
      </c>
      <c r="L1" s="148" t="s">
        <v>228</v>
      </c>
      <c r="M1" s="149" t="s">
        <v>229</v>
      </c>
      <c r="N1" s="148" t="s">
        <v>230</v>
      </c>
      <c r="O1" s="146" t="s">
        <v>18</v>
      </c>
    </row>
    <row r="2" spans="1:28" ht="15.75">
      <c r="A2" s="5">
        <v>1</v>
      </c>
      <c r="B2" s="128"/>
      <c r="C2" s="139">
        <v>45090</v>
      </c>
      <c r="D2" s="257" t="s">
        <v>439</v>
      </c>
      <c r="E2" s="131" t="s">
        <v>440</v>
      </c>
      <c r="F2" s="156"/>
      <c r="G2" s="210" t="s">
        <v>295</v>
      </c>
      <c r="H2" s="133"/>
      <c r="I2" s="133"/>
      <c r="J2" s="150"/>
      <c r="K2" s="224">
        <v>13500</v>
      </c>
      <c r="L2" s="150"/>
      <c r="M2" s="234"/>
      <c r="N2" s="208"/>
      <c r="O2" s="238"/>
      <c r="AB2" s="130" t="s">
        <v>234</v>
      </c>
    </row>
    <row r="3" spans="1:28" ht="47.25">
      <c r="A3" s="9">
        <v>2</v>
      </c>
      <c r="B3" s="136"/>
      <c r="C3" s="139">
        <v>45098</v>
      </c>
      <c r="D3" s="257" t="s">
        <v>231</v>
      </c>
      <c r="E3" s="241" t="s">
        <v>441</v>
      </c>
      <c r="F3" s="156"/>
      <c r="G3" s="210" t="s">
        <v>295</v>
      </c>
      <c r="H3" s="133"/>
      <c r="I3" s="133"/>
      <c r="J3" s="150"/>
      <c r="K3" s="224">
        <v>16500</v>
      </c>
      <c r="L3" s="150"/>
      <c r="M3" s="137"/>
      <c r="N3" s="69"/>
      <c r="O3" s="238"/>
    </row>
    <row r="4" spans="1:28" ht="15.75">
      <c r="A4" s="9">
        <v>3</v>
      </c>
      <c r="B4" s="128"/>
      <c r="C4" s="139"/>
      <c r="D4" s="257"/>
      <c r="E4" s="241"/>
      <c r="F4" s="156"/>
      <c r="G4" s="210"/>
      <c r="H4" s="133"/>
      <c r="I4" s="133"/>
      <c r="J4" s="150"/>
      <c r="K4" s="224"/>
      <c r="L4" s="150"/>
      <c r="M4" s="137"/>
      <c r="N4" s="208"/>
      <c r="O4" s="238"/>
    </row>
    <row r="5" spans="1:28" ht="15.75">
      <c r="A5" s="9">
        <v>4</v>
      </c>
      <c r="B5" s="128"/>
      <c r="C5" s="129"/>
      <c r="D5" s="257"/>
      <c r="E5" s="131"/>
      <c r="F5" s="197"/>
      <c r="G5" s="132"/>
      <c r="H5" s="133"/>
      <c r="I5" s="133"/>
      <c r="J5" s="150"/>
      <c r="K5" s="124"/>
      <c r="L5" s="150"/>
      <c r="M5" s="137"/>
      <c r="N5" s="208"/>
      <c r="O5" s="238"/>
    </row>
    <row r="6" spans="1:28" ht="15.75">
      <c r="A6" s="195">
        <v>5</v>
      </c>
      <c r="B6" s="128"/>
      <c r="C6" s="129"/>
      <c r="D6" s="257"/>
      <c r="E6" s="131"/>
      <c r="F6" s="197"/>
      <c r="G6" s="198"/>
      <c r="H6" s="133"/>
      <c r="I6" s="133"/>
      <c r="J6" s="150"/>
      <c r="K6" s="224"/>
      <c r="L6" s="150"/>
      <c r="M6" s="137"/>
      <c r="N6" s="200"/>
      <c r="O6" s="239"/>
    </row>
    <row r="7" spans="1:28" ht="15.75">
      <c r="A7" s="9">
        <v>6</v>
      </c>
      <c r="B7" s="136"/>
      <c r="C7" s="139"/>
      <c r="D7" s="257"/>
      <c r="E7" s="131"/>
      <c r="F7" s="157"/>
      <c r="G7" s="154"/>
      <c r="H7" s="133"/>
      <c r="I7" s="137"/>
      <c r="J7" s="150"/>
      <c r="K7" s="224"/>
      <c r="L7" s="150"/>
      <c r="M7" s="137"/>
      <c r="N7" s="208"/>
      <c r="O7" s="239"/>
    </row>
    <row r="8" spans="1:28" ht="15.75">
      <c r="A8" s="195">
        <v>7</v>
      </c>
      <c r="B8" s="136"/>
      <c r="C8" s="139"/>
      <c r="D8" s="130"/>
      <c r="E8" s="241"/>
      <c r="F8" s="157"/>
      <c r="G8" s="210"/>
      <c r="H8" s="154"/>
      <c r="I8" s="137"/>
      <c r="J8" s="242"/>
      <c r="K8" s="224"/>
      <c r="L8" s="150"/>
      <c r="M8" s="137"/>
      <c r="N8" s="208"/>
      <c r="O8" s="239"/>
    </row>
    <row r="9" spans="1:28" ht="15.75">
      <c r="A9" s="9">
        <v>8</v>
      </c>
      <c r="B9" s="136"/>
      <c r="C9" s="139"/>
      <c r="D9" s="130"/>
      <c r="E9" s="131"/>
      <c r="F9" s="157"/>
      <c r="G9" s="210"/>
      <c r="H9" s="154"/>
      <c r="I9" s="137"/>
      <c r="J9" s="242"/>
      <c r="K9" s="224"/>
      <c r="L9" s="150"/>
      <c r="M9" s="137"/>
      <c r="N9" s="161"/>
      <c r="O9" s="239"/>
    </row>
    <row r="10" spans="1:28" ht="15.75">
      <c r="A10" s="195">
        <v>9</v>
      </c>
      <c r="B10" s="136"/>
      <c r="C10" s="139"/>
      <c r="D10" s="130"/>
      <c r="E10" s="131"/>
      <c r="F10" s="157"/>
      <c r="G10" s="137"/>
      <c r="H10" s="154"/>
      <c r="I10" s="137"/>
      <c r="J10" s="242"/>
      <c r="K10" s="224"/>
      <c r="L10" s="150"/>
      <c r="M10" s="137"/>
      <c r="N10" s="208"/>
      <c r="O10" s="239"/>
    </row>
    <row r="11" spans="1:28" ht="15.75">
      <c r="A11" s="9">
        <v>10</v>
      </c>
      <c r="B11" s="136"/>
      <c r="C11" s="139"/>
      <c r="D11" s="130"/>
      <c r="E11" s="131"/>
      <c r="F11" s="157"/>
      <c r="G11" s="137"/>
      <c r="H11" s="154"/>
      <c r="I11" s="137"/>
      <c r="J11" s="242"/>
      <c r="K11" s="224"/>
      <c r="L11" s="150"/>
      <c r="M11" s="137"/>
      <c r="N11" s="208"/>
      <c r="O11" s="239"/>
    </row>
    <row r="12" spans="1:28" ht="15.75">
      <c r="A12" s="195">
        <v>11</v>
      </c>
      <c r="B12" s="136"/>
      <c r="C12" s="139"/>
      <c r="D12" s="130"/>
      <c r="E12" s="131"/>
      <c r="F12" s="157"/>
      <c r="G12" s="137"/>
      <c r="H12" s="154"/>
      <c r="I12" s="137"/>
      <c r="J12" s="242"/>
      <c r="K12" s="224"/>
      <c r="L12" s="151"/>
      <c r="M12" s="137"/>
      <c r="N12" s="208"/>
      <c r="O12" s="138"/>
    </row>
    <row r="13" spans="1:28" ht="15.75">
      <c r="A13" s="9">
        <v>12</v>
      </c>
      <c r="B13" s="136"/>
      <c r="C13" s="139"/>
      <c r="D13" s="130"/>
      <c r="E13" s="142"/>
      <c r="F13" s="157"/>
      <c r="G13" s="137"/>
      <c r="H13" s="154"/>
      <c r="I13" s="137"/>
      <c r="J13" s="242"/>
      <c r="K13" s="224"/>
      <c r="L13" s="151"/>
      <c r="M13" s="137"/>
      <c r="N13" s="208"/>
      <c r="O13" s="138"/>
    </row>
    <row r="14" spans="1:28" ht="15.75">
      <c r="A14" s="195">
        <v>13</v>
      </c>
      <c r="B14" s="136"/>
      <c r="C14" s="139"/>
      <c r="D14" s="130"/>
      <c r="E14" s="142"/>
      <c r="F14" s="157"/>
      <c r="G14" s="137"/>
      <c r="H14" s="210"/>
      <c r="I14" s="137"/>
      <c r="J14" s="242"/>
      <c r="K14" s="124"/>
      <c r="L14" s="151"/>
      <c r="M14" s="137"/>
      <c r="N14" s="211"/>
      <c r="O14" s="138"/>
    </row>
    <row r="15" spans="1:28" ht="15.75">
      <c r="A15" s="9">
        <v>14</v>
      </c>
      <c r="B15" s="136"/>
      <c r="C15" s="139"/>
      <c r="D15" s="130"/>
      <c r="E15" s="142"/>
      <c r="F15" s="157"/>
      <c r="G15" s="137"/>
      <c r="H15" s="137"/>
      <c r="I15" s="137"/>
      <c r="J15" s="242"/>
      <c r="K15" s="224"/>
      <c r="L15" s="151"/>
      <c r="M15" s="137"/>
      <c r="N15" s="211"/>
      <c r="O15" s="138"/>
    </row>
    <row r="16" spans="1:28" ht="15.75">
      <c r="A16" s="195">
        <v>15</v>
      </c>
      <c r="B16" s="136"/>
      <c r="C16" s="139"/>
      <c r="D16" s="130"/>
      <c r="E16" s="142"/>
      <c r="F16" s="157"/>
      <c r="G16" s="137"/>
      <c r="H16" s="137"/>
      <c r="I16" s="137"/>
      <c r="J16" s="242"/>
      <c r="K16" s="124"/>
      <c r="L16" s="151"/>
      <c r="M16" s="137"/>
      <c r="N16" s="120"/>
      <c r="O16" s="138"/>
    </row>
    <row r="17" spans="1:15" ht="15.75">
      <c r="A17" s="9">
        <v>16</v>
      </c>
      <c r="B17" s="136"/>
      <c r="C17" s="139"/>
      <c r="D17" s="130"/>
      <c r="E17" s="142"/>
      <c r="F17" s="157"/>
      <c r="G17" s="137"/>
      <c r="H17" s="137"/>
      <c r="I17" s="137"/>
      <c r="J17" s="242"/>
      <c r="K17" s="124"/>
      <c r="L17" s="151"/>
      <c r="M17" s="137"/>
      <c r="N17" s="120"/>
      <c r="O17" s="138"/>
    </row>
    <row r="18" spans="1:15" ht="15.75">
      <c r="A18" s="195">
        <v>17</v>
      </c>
      <c r="B18" s="136"/>
      <c r="C18" s="139"/>
      <c r="D18" s="130"/>
      <c r="E18" s="141"/>
      <c r="F18" s="157"/>
      <c r="G18" s="137"/>
      <c r="H18" s="137"/>
      <c r="I18" s="137"/>
      <c r="J18" s="242"/>
      <c r="K18" s="124"/>
      <c r="L18" s="151"/>
      <c r="M18" s="137"/>
      <c r="N18" s="120"/>
      <c r="O18" s="143"/>
    </row>
    <row r="19" spans="1:15" ht="15.75" customHeight="1">
      <c r="A19" s="9">
        <v>18</v>
      </c>
      <c r="B19" s="136"/>
      <c r="C19" s="139"/>
      <c r="D19" s="130"/>
      <c r="E19" s="131"/>
      <c r="F19" s="157"/>
      <c r="G19" s="137"/>
      <c r="H19" s="137"/>
      <c r="I19" s="137"/>
      <c r="J19" s="242"/>
      <c r="K19" s="124"/>
      <c r="L19" s="151"/>
      <c r="M19" s="137"/>
      <c r="N19" s="120"/>
      <c r="O19" s="140"/>
    </row>
    <row r="20" spans="1:15" ht="15.75" customHeight="1">
      <c r="A20" s="195">
        <v>19</v>
      </c>
      <c r="B20" s="136"/>
      <c r="C20" s="139"/>
      <c r="D20" s="130"/>
      <c r="E20" s="131"/>
      <c r="F20" s="157"/>
      <c r="G20" s="137"/>
      <c r="H20" s="137"/>
      <c r="I20" s="137"/>
      <c r="J20" s="242"/>
      <c r="K20" s="124"/>
      <c r="L20" s="151"/>
      <c r="M20" s="137"/>
      <c r="N20" s="120"/>
      <c r="O20" s="140"/>
    </row>
    <row r="21" spans="1:15" ht="15.75" customHeight="1">
      <c r="A21" s="9">
        <v>20</v>
      </c>
      <c r="B21" s="136"/>
      <c r="C21" s="139"/>
      <c r="D21" s="130"/>
      <c r="E21" s="131"/>
      <c r="F21" s="157"/>
      <c r="G21" s="137"/>
      <c r="H21" s="137"/>
      <c r="I21" s="137"/>
      <c r="J21" s="242"/>
      <c r="K21" s="126"/>
      <c r="L21" s="151"/>
      <c r="M21" s="137"/>
      <c r="N21" s="120"/>
      <c r="O21" s="143"/>
    </row>
    <row r="22" spans="1:15" ht="15.75" customHeight="1">
      <c r="A22" s="195">
        <v>21</v>
      </c>
      <c r="B22" s="136"/>
      <c r="C22" s="139"/>
      <c r="D22" s="130"/>
      <c r="E22" s="131"/>
      <c r="F22" s="157"/>
      <c r="G22" s="137"/>
      <c r="H22" s="137"/>
      <c r="I22" s="137"/>
      <c r="J22" s="242"/>
      <c r="K22" s="127"/>
      <c r="L22" s="151"/>
      <c r="M22" s="137"/>
      <c r="N22" s="120"/>
      <c r="O22" s="140"/>
    </row>
    <row r="23" spans="1:15" ht="15.75" customHeight="1">
      <c r="A23" s="9">
        <v>22</v>
      </c>
      <c r="B23" s="136"/>
      <c r="C23" s="139"/>
      <c r="D23" s="130"/>
      <c r="E23" s="131"/>
      <c r="F23" s="157"/>
      <c r="G23" s="137"/>
      <c r="H23" s="137"/>
      <c r="I23" s="137"/>
      <c r="J23" s="242"/>
      <c r="K23" s="127"/>
      <c r="L23" s="151"/>
      <c r="M23" s="144"/>
      <c r="N23" s="120"/>
      <c r="O23" s="140"/>
    </row>
    <row r="24" spans="1:15" ht="15.75" customHeight="1">
      <c r="A24" s="195">
        <v>23</v>
      </c>
      <c r="B24" s="136"/>
      <c r="C24" s="139"/>
      <c r="D24" s="130"/>
      <c r="E24" s="142"/>
      <c r="F24" s="157"/>
      <c r="G24" s="137"/>
      <c r="H24" s="137"/>
      <c r="I24" s="137"/>
      <c r="J24" s="242"/>
      <c r="K24" s="127"/>
      <c r="L24" s="151"/>
      <c r="M24" s="144"/>
      <c r="N24" s="120"/>
      <c r="O24" s="140"/>
    </row>
    <row r="25" spans="1:15" ht="15.75" customHeight="1">
      <c r="A25" s="9"/>
      <c r="B25" s="136"/>
      <c r="C25" s="139"/>
      <c r="D25" s="130"/>
      <c r="E25" s="142"/>
      <c r="F25" s="157"/>
      <c r="G25" s="137"/>
      <c r="H25" s="137"/>
      <c r="I25" s="137"/>
      <c r="J25" s="242"/>
      <c r="K25" s="127"/>
      <c r="L25" s="151"/>
      <c r="M25" s="144"/>
      <c r="N25" s="120"/>
      <c r="O25" s="140"/>
    </row>
    <row r="26" spans="1:15" ht="15.75" customHeight="1">
      <c r="A26" s="9"/>
      <c r="B26" s="136"/>
      <c r="C26" s="139"/>
      <c r="D26" s="130"/>
      <c r="E26" s="142"/>
      <c r="F26" s="157"/>
      <c r="G26" s="137"/>
      <c r="H26" s="137"/>
      <c r="I26" s="137"/>
      <c r="J26" s="242"/>
      <c r="K26" s="127"/>
      <c r="L26" s="151"/>
      <c r="M26" s="144"/>
      <c r="N26" s="120"/>
      <c r="O26" s="140"/>
    </row>
    <row r="27" spans="1:15" ht="15.75" customHeight="1">
      <c r="A27" s="9"/>
      <c r="B27" s="136"/>
      <c r="C27" s="139"/>
      <c r="D27" s="130"/>
      <c r="E27" s="141"/>
      <c r="F27" s="158"/>
      <c r="G27" s="145"/>
      <c r="H27" s="145"/>
      <c r="I27" s="145"/>
      <c r="J27" s="243"/>
      <c r="K27" s="127"/>
      <c r="L27" s="151"/>
      <c r="M27" s="144"/>
      <c r="N27" s="118"/>
      <c r="O27" s="140"/>
    </row>
    <row r="28" spans="1:15" ht="15.75" customHeight="1">
      <c r="A28" s="9"/>
      <c r="B28" s="136"/>
      <c r="C28" s="139"/>
      <c r="D28" s="130"/>
      <c r="E28" s="141"/>
      <c r="F28" s="158"/>
      <c r="G28" s="145"/>
      <c r="H28" s="145"/>
      <c r="I28" s="145"/>
      <c r="J28" s="243"/>
      <c r="K28" s="127"/>
      <c r="L28" s="151"/>
      <c r="M28" s="137"/>
      <c r="N28" s="118"/>
      <c r="O28" s="140"/>
    </row>
    <row r="29" spans="1:15" ht="15.75" customHeight="1">
      <c r="A29" s="63"/>
      <c r="B29" s="83"/>
      <c r="C29" s="84"/>
      <c r="D29" s="58"/>
      <c r="E29" s="82"/>
      <c r="F29" s="159"/>
      <c r="G29" s="59"/>
      <c r="H29" s="59"/>
      <c r="I29" s="59"/>
      <c r="J29" s="244"/>
      <c r="K29" s="68"/>
      <c r="L29" s="152"/>
      <c r="M29" s="59"/>
      <c r="N29" s="118"/>
      <c r="O29" s="69"/>
    </row>
    <row r="30" spans="1:15" ht="15.75" customHeight="1">
      <c r="A30" s="63"/>
      <c r="B30" s="83"/>
      <c r="C30" s="84"/>
      <c r="D30" s="58"/>
      <c r="E30" s="82"/>
      <c r="F30" s="159"/>
      <c r="G30" s="59"/>
      <c r="H30" s="59"/>
      <c r="I30" s="59"/>
      <c r="J30" s="244"/>
      <c r="K30" s="68"/>
      <c r="L30" s="118"/>
      <c r="M30" s="59"/>
      <c r="N30" s="118"/>
      <c r="O30" s="69"/>
    </row>
    <row r="31" spans="1:15" ht="15.75" customHeight="1">
      <c r="A31" s="63"/>
      <c r="B31" s="83"/>
      <c r="C31" s="84"/>
      <c r="D31" s="58"/>
      <c r="E31" s="86"/>
      <c r="F31" s="159"/>
      <c r="G31" s="59"/>
      <c r="H31" s="59"/>
      <c r="I31" s="59"/>
      <c r="J31" s="244"/>
      <c r="K31" s="68"/>
      <c r="L31" s="118"/>
      <c r="M31" s="59"/>
      <c r="N31" s="118"/>
      <c r="O31" s="69"/>
    </row>
    <row r="32" spans="1:15" ht="15.75" customHeight="1">
      <c r="A32" s="63"/>
      <c r="B32" s="83"/>
      <c r="C32" s="84"/>
      <c r="D32" s="58"/>
      <c r="E32" s="85"/>
      <c r="F32" s="159"/>
      <c r="G32" s="59"/>
      <c r="H32" s="59"/>
      <c r="I32" s="59"/>
      <c r="J32" s="244"/>
      <c r="K32" s="68"/>
      <c r="L32" s="118"/>
      <c r="M32" s="59"/>
      <c r="N32" s="118"/>
      <c r="O32" s="69"/>
    </row>
    <row r="33" spans="1:15" ht="15.75" customHeight="1">
      <c r="A33" s="63"/>
      <c r="B33" s="83"/>
      <c r="C33" s="84"/>
      <c r="D33" s="58"/>
      <c r="E33" s="85"/>
      <c r="F33" s="87"/>
      <c r="G33" s="87"/>
      <c r="H33" s="87"/>
      <c r="I33" s="87"/>
      <c r="J33" s="245"/>
      <c r="K33" s="68"/>
      <c r="L33" s="118"/>
      <c r="M33" s="59"/>
      <c r="N33" s="160"/>
    </row>
    <row r="34" spans="1:15" ht="15.75" customHeight="1">
      <c r="A34" s="63"/>
      <c r="B34" s="83"/>
      <c r="C34" s="84"/>
      <c r="D34" s="58"/>
      <c r="E34" s="82"/>
      <c r="F34" s="59"/>
      <c r="G34" s="59"/>
      <c r="H34" s="59"/>
      <c r="I34" s="59"/>
      <c r="J34" s="244"/>
      <c r="K34" s="68"/>
      <c r="L34" s="118"/>
      <c r="M34" s="59"/>
      <c r="N34" s="118"/>
      <c r="O34" s="62"/>
    </row>
    <row r="35" spans="1:15" ht="15.75" customHeight="1">
      <c r="A35" s="63"/>
      <c r="B35" s="83"/>
      <c r="C35" s="84"/>
      <c r="D35" s="58"/>
      <c r="E35" s="82"/>
      <c r="F35" s="59"/>
      <c r="G35" s="59"/>
      <c r="H35" s="59"/>
      <c r="I35" s="59"/>
      <c r="J35" s="244"/>
      <c r="K35" s="68"/>
      <c r="L35" s="118"/>
      <c r="M35" s="59"/>
      <c r="N35" s="118"/>
      <c r="O35" s="72"/>
    </row>
    <row r="36" spans="1:15" ht="15.75" customHeight="1">
      <c r="A36" s="63"/>
      <c r="B36" s="83"/>
      <c r="C36" s="84"/>
      <c r="D36" s="58"/>
      <c r="E36" s="82"/>
      <c r="F36" s="59"/>
      <c r="G36" s="59"/>
      <c r="H36" s="59"/>
      <c r="I36" s="59"/>
      <c r="J36" s="244"/>
      <c r="K36" s="68"/>
      <c r="L36" s="118"/>
      <c r="M36" s="59"/>
      <c r="N36" s="118"/>
      <c r="O36" s="69"/>
    </row>
    <row r="37" spans="1:15" ht="15.75" customHeight="1">
      <c r="A37" s="63"/>
      <c r="B37" s="83"/>
      <c r="C37" s="84"/>
      <c r="D37" s="58"/>
      <c r="E37" s="85"/>
      <c r="F37" s="59"/>
      <c r="G37" s="59"/>
      <c r="H37" s="59"/>
      <c r="I37" s="59"/>
      <c r="J37" s="244"/>
      <c r="K37" s="68"/>
      <c r="L37" s="118"/>
      <c r="M37" s="59"/>
      <c r="N37" s="118"/>
      <c r="O37" s="69"/>
    </row>
    <row r="38" spans="1:15" ht="15.75" customHeight="1">
      <c r="A38" s="63"/>
      <c r="B38" s="83"/>
      <c r="C38" s="84"/>
      <c r="D38" s="58"/>
      <c r="E38" s="82"/>
      <c r="F38" s="59"/>
      <c r="G38" s="59"/>
      <c r="H38" s="59"/>
      <c r="I38" s="59"/>
      <c r="J38" s="244"/>
      <c r="K38" s="68"/>
      <c r="L38" s="118"/>
      <c r="M38" s="59"/>
      <c r="N38" s="118"/>
      <c r="O38" s="69"/>
    </row>
    <row r="39" spans="1:15" ht="15.75" customHeight="1">
      <c r="A39" s="63"/>
      <c r="B39" s="83"/>
      <c r="C39" s="84"/>
      <c r="D39" s="58"/>
      <c r="E39" s="82"/>
      <c r="F39" s="59"/>
      <c r="G39" s="59"/>
      <c r="H39" s="59"/>
      <c r="I39" s="59"/>
      <c r="J39" s="244"/>
      <c r="K39" s="68"/>
      <c r="L39" s="118"/>
      <c r="M39" s="59"/>
      <c r="N39" s="118"/>
      <c r="O39" s="69"/>
    </row>
    <row r="40" spans="1:15" ht="15.75" customHeight="1">
      <c r="A40" s="63"/>
      <c r="B40" s="83"/>
      <c r="C40" s="84"/>
      <c r="D40" s="58"/>
      <c r="E40" s="82"/>
      <c r="F40" s="59"/>
      <c r="G40" s="59"/>
      <c r="H40" s="59"/>
      <c r="I40" s="59"/>
      <c r="J40" s="244"/>
      <c r="K40" s="68"/>
      <c r="L40" s="118"/>
      <c r="M40" s="59"/>
      <c r="N40" s="118"/>
      <c r="O40" s="69"/>
    </row>
    <row r="41" spans="1:15" ht="15.75" customHeight="1">
      <c r="A41" s="63"/>
      <c r="B41" s="83"/>
      <c r="C41" s="84"/>
      <c r="D41" s="58"/>
      <c r="E41" s="82"/>
      <c r="F41" s="59"/>
      <c r="G41" s="59"/>
      <c r="H41" s="59"/>
      <c r="I41" s="59"/>
      <c r="J41" s="244"/>
      <c r="K41" s="68"/>
      <c r="L41" s="118"/>
      <c r="M41" s="59"/>
      <c r="N41" s="118"/>
      <c r="O41" s="69"/>
    </row>
    <row r="42" spans="1:15" ht="15.75" customHeight="1">
      <c r="A42" s="88"/>
      <c r="B42" s="89"/>
      <c r="C42" s="90"/>
      <c r="D42" s="91"/>
      <c r="E42" s="92"/>
      <c r="F42" s="93"/>
      <c r="G42" s="93"/>
      <c r="H42" s="94"/>
      <c r="I42" s="94"/>
      <c r="J42" s="246"/>
      <c r="K42" s="95"/>
      <c r="L42" s="119"/>
      <c r="M42" s="94"/>
      <c r="N42" s="119"/>
      <c r="O42" s="69"/>
    </row>
    <row r="43" spans="1:15" ht="15.75" customHeight="1">
      <c r="A43" s="96"/>
      <c r="B43" s="96"/>
      <c r="C43" s="96"/>
      <c r="D43" s="96"/>
      <c r="E43" s="96"/>
      <c r="F43" s="96"/>
      <c r="G43" s="96"/>
      <c r="H43" s="96"/>
      <c r="I43" s="96"/>
      <c r="J43" s="247"/>
      <c r="K43" s="98">
        <f>SUM(K2:K42)</f>
        <v>30000</v>
      </c>
      <c r="L43" s="98"/>
      <c r="M43" s="97" t="s">
        <v>123</v>
      </c>
      <c r="N43" s="98"/>
      <c r="O43" s="99"/>
    </row>
    <row r="44" spans="1:15" ht="15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248"/>
      <c r="K44" s="98">
        <f>SUMIF(K2:K42,M44,K2:K42)</f>
        <v>0</v>
      </c>
      <c r="L44" s="98"/>
      <c r="M44" s="101" t="s">
        <v>179</v>
      </c>
      <c r="N44" s="98"/>
      <c r="O44" s="99"/>
    </row>
    <row r="45" spans="1:15" ht="15.75" customHeight="1">
      <c r="A45" s="102"/>
      <c r="B45" s="102"/>
      <c r="C45" s="102"/>
      <c r="D45" s="102"/>
      <c r="E45" s="102"/>
      <c r="F45" s="102"/>
      <c r="G45" s="102"/>
      <c r="H45" s="102"/>
      <c r="I45" s="102"/>
      <c r="J45" s="249"/>
      <c r="K45" s="98">
        <f>SUMIF(K2:K42,M45,K2:K42)</f>
        <v>0</v>
      </c>
      <c r="L45" s="98"/>
      <c r="M45" s="103" t="s">
        <v>183</v>
      </c>
      <c r="N45" s="98"/>
      <c r="O45" s="99"/>
    </row>
    <row r="46" spans="1:15" ht="15.75" hidden="1" customHeight="1">
      <c r="A46" s="104">
        <v>33</v>
      </c>
      <c r="B46" s="57"/>
      <c r="C46" s="105"/>
      <c r="D46" s="106"/>
      <c r="E46" s="107"/>
      <c r="F46" s="107"/>
      <c r="G46" s="107"/>
      <c r="H46" s="107"/>
      <c r="I46" s="107"/>
      <c r="J46" s="250"/>
      <c r="K46" s="67"/>
      <c r="L46" s="115"/>
      <c r="M46" s="107"/>
      <c r="N46" s="115"/>
      <c r="O46" s="69"/>
    </row>
    <row r="47" spans="1:15" ht="15.75" hidden="1" customHeight="1">
      <c r="A47" s="63">
        <v>34</v>
      </c>
      <c r="B47" s="64"/>
      <c r="C47" s="108"/>
      <c r="D47" s="58"/>
      <c r="E47" s="59"/>
      <c r="F47" s="59"/>
      <c r="G47" s="59"/>
      <c r="H47" s="59"/>
      <c r="I47" s="59"/>
      <c r="J47" s="244"/>
      <c r="K47" s="68"/>
      <c r="L47" s="99"/>
      <c r="M47" s="59"/>
      <c r="N47" s="99"/>
      <c r="O47" s="72"/>
    </row>
    <row r="48" spans="1:15" ht="15.75" hidden="1" customHeight="1">
      <c r="A48" s="63">
        <v>35</v>
      </c>
      <c r="B48" s="64"/>
      <c r="C48" s="108"/>
      <c r="D48" s="58"/>
      <c r="E48" s="59"/>
      <c r="F48" s="59"/>
      <c r="G48" s="59"/>
      <c r="H48" s="59"/>
      <c r="I48" s="59"/>
      <c r="J48" s="244"/>
      <c r="K48" s="68"/>
      <c r="L48" s="99"/>
      <c r="M48" s="59"/>
      <c r="N48" s="99"/>
      <c r="O48" s="72"/>
    </row>
    <row r="49" spans="1:15" ht="15.75" hidden="1" customHeight="1">
      <c r="A49" s="63">
        <v>36</v>
      </c>
      <c r="B49" s="64"/>
      <c r="C49" s="108"/>
      <c r="D49" s="58"/>
      <c r="E49" s="60"/>
      <c r="F49" s="59"/>
      <c r="G49" s="59"/>
      <c r="H49" s="59"/>
      <c r="I49" s="59"/>
      <c r="J49" s="244"/>
      <c r="K49" s="68"/>
      <c r="L49" s="99"/>
      <c r="M49" s="59"/>
      <c r="N49" s="99"/>
      <c r="O49" s="72"/>
    </row>
    <row r="50" spans="1:15" ht="15.75" hidden="1" customHeight="1">
      <c r="A50" s="63">
        <v>37</v>
      </c>
      <c r="B50" s="64"/>
      <c r="C50" s="108"/>
      <c r="D50" s="58"/>
      <c r="E50" s="59"/>
      <c r="F50" s="59"/>
      <c r="G50" s="59"/>
      <c r="H50" s="59"/>
      <c r="I50" s="59"/>
      <c r="J50" s="244"/>
      <c r="K50" s="68"/>
      <c r="L50" s="99"/>
      <c r="M50" s="59"/>
      <c r="N50" s="99"/>
      <c r="O50" s="72"/>
    </row>
    <row r="51" spans="1:15" ht="15.75" hidden="1" customHeight="1">
      <c r="A51" s="63">
        <v>38</v>
      </c>
      <c r="B51" s="64"/>
      <c r="C51" s="108"/>
      <c r="D51" s="58"/>
      <c r="E51" s="59"/>
      <c r="F51" s="59"/>
      <c r="G51" s="59"/>
      <c r="H51" s="59"/>
      <c r="I51" s="59"/>
      <c r="J51" s="244"/>
      <c r="K51" s="68"/>
      <c r="L51" s="99"/>
      <c r="M51" s="59"/>
      <c r="N51" s="99"/>
      <c r="O51" s="72"/>
    </row>
    <row r="52" spans="1:15" ht="15.75" hidden="1" customHeight="1">
      <c r="A52" s="63">
        <v>39</v>
      </c>
      <c r="B52" s="64"/>
      <c r="C52" s="108"/>
      <c r="D52" s="58"/>
      <c r="E52" s="59"/>
      <c r="F52" s="59"/>
      <c r="G52" s="59"/>
      <c r="H52" s="59"/>
      <c r="I52" s="59"/>
      <c r="J52" s="244"/>
      <c r="K52" s="68"/>
      <c r="L52" s="99"/>
      <c r="M52" s="59"/>
      <c r="N52" s="99"/>
      <c r="O52" s="72"/>
    </row>
    <row r="53" spans="1:15" ht="15.75" hidden="1" customHeight="1">
      <c r="A53" s="63">
        <v>40</v>
      </c>
      <c r="B53" s="64"/>
      <c r="C53" s="108"/>
      <c r="D53" s="58"/>
      <c r="E53" s="59"/>
      <c r="F53" s="59"/>
      <c r="G53" s="59"/>
      <c r="H53" s="59"/>
      <c r="I53" s="59"/>
      <c r="J53" s="244"/>
      <c r="K53" s="68"/>
      <c r="L53" s="99"/>
      <c r="M53" s="59"/>
      <c r="N53" s="99"/>
      <c r="O53" s="72"/>
    </row>
    <row r="54" spans="1:15" ht="15.75" hidden="1" customHeight="1">
      <c r="A54" s="63">
        <v>41</v>
      </c>
      <c r="B54" s="64"/>
      <c r="C54" s="108"/>
      <c r="D54" s="58"/>
      <c r="E54" s="60"/>
      <c r="F54" s="59"/>
      <c r="G54" s="59"/>
      <c r="H54" s="59"/>
      <c r="I54" s="59"/>
      <c r="J54" s="244"/>
      <c r="K54" s="68"/>
      <c r="L54" s="99"/>
      <c r="M54" s="59"/>
      <c r="N54" s="99"/>
      <c r="O54" s="72"/>
    </row>
    <row r="55" spans="1:15" ht="15.75" hidden="1" customHeight="1">
      <c r="A55" s="63">
        <v>42</v>
      </c>
      <c r="B55" s="64"/>
      <c r="C55" s="108"/>
      <c r="D55" s="58"/>
      <c r="E55" s="59"/>
      <c r="F55" s="59"/>
      <c r="G55" s="59"/>
      <c r="H55" s="59"/>
      <c r="I55" s="59"/>
      <c r="J55" s="244"/>
      <c r="K55" s="68"/>
      <c r="L55" s="99"/>
      <c r="M55" s="59"/>
      <c r="N55" s="99"/>
      <c r="O55" s="72"/>
    </row>
    <row r="56" spans="1:15" ht="15.75" hidden="1" customHeight="1">
      <c r="A56" s="63">
        <v>43</v>
      </c>
      <c r="B56" s="64"/>
      <c r="C56" s="109"/>
      <c r="D56" s="73"/>
      <c r="E56" s="59"/>
      <c r="F56" s="74"/>
      <c r="G56" s="74"/>
      <c r="H56" s="74"/>
      <c r="I56" s="74"/>
      <c r="J56" s="251"/>
      <c r="K56" s="75"/>
      <c r="L56" s="116"/>
      <c r="M56" s="74"/>
      <c r="N56" s="116"/>
      <c r="O56" s="76"/>
    </row>
    <row r="57" spans="1:15" ht="15.75" hidden="1" customHeight="1">
      <c r="A57" s="63">
        <v>44</v>
      </c>
      <c r="B57" s="64"/>
      <c r="C57" s="108"/>
      <c r="D57" s="58"/>
      <c r="E57" s="59"/>
      <c r="F57" s="59"/>
      <c r="G57" s="59"/>
      <c r="H57" s="59"/>
      <c r="I57" s="59"/>
      <c r="J57" s="244"/>
      <c r="K57" s="68"/>
      <c r="L57" s="99"/>
      <c r="M57" s="59"/>
      <c r="N57" s="99"/>
      <c r="O57" s="72"/>
    </row>
    <row r="58" spans="1:15" ht="15.75" hidden="1" customHeight="1">
      <c r="A58" s="63">
        <v>45</v>
      </c>
      <c r="B58" s="64"/>
      <c r="C58" s="108"/>
      <c r="D58" s="58"/>
      <c r="E58" s="59"/>
      <c r="F58" s="59"/>
      <c r="G58" s="59"/>
      <c r="H58" s="59"/>
      <c r="I58" s="59"/>
      <c r="J58" s="244"/>
      <c r="K58" s="68"/>
      <c r="L58" s="99"/>
      <c r="M58" s="59"/>
      <c r="N58" s="99"/>
      <c r="O58" s="72"/>
    </row>
    <row r="59" spans="1:15" ht="15.75" hidden="1" customHeight="1">
      <c r="A59" s="63">
        <v>46</v>
      </c>
      <c r="B59" s="64"/>
      <c r="C59" s="108"/>
      <c r="D59" s="58"/>
      <c r="E59" s="60"/>
      <c r="F59" s="59"/>
      <c r="G59" s="59"/>
      <c r="H59" s="59"/>
      <c r="I59" s="59"/>
      <c r="J59" s="244"/>
      <c r="K59" s="77"/>
      <c r="L59" s="117"/>
      <c r="M59" s="59"/>
      <c r="N59" s="117"/>
      <c r="O59" s="72"/>
    </row>
    <row r="60" spans="1:15" ht="15.75" hidden="1" customHeight="1">
      <c r="A60" s="63">
        <v>47</v>
      </c>
      <c r="B60" s="64"/>
      <c r="C60" s="108"/>
      <c r="D60" s="58"/>
      <c r="E60" s="59"/>
      <c r="F60" s="59"/>
      <c r="G60" s="59"/>
      <c r="H60" s="59"/>
      <c r="I60" s="59"/>
      <c r="J60" s="244"/>
      <c r="K60" s="68"/>
      <c r="L60" s="99"/>
      <c r="M60" s="59"/>
      <c r="N60" s="99"/>
      <c r="O60" s="72"/>
    </row>
    <row r="61" spans="1:15" ht="15.75" hidden="1" customHeight="1">
      <c r="A61" s="63">
        <v>48</v>
      </c>
      <c r="B61" s="64"/>
      <c r="C61" s="108"/>
      <c r="D61" s="58"/>
      <c r="E61" s="59"/>
      <c r="F61" s="59"/>
      <c r="G61" s="59"/>
      <c r="H61" s="59"/>
      <c r="I61" s="59"/>
      <c r="J61" s="244"/>
      <c r="K61" s="68"/>
      <c r="L61" s="99"/>
      <c r="M61" s="59"/>
      <c r="N61" s="99"/>
      <c r="O61" s="72"/>
    </row>
    <row r="62" spans="1:15" ht="15.75" hidden="1" customHeight="1">
      <c r="A62" s="63">
        <v>49</v>
      </c>
      <c r="B62" s="64"/>
      <c r="C62" s="108"/>
      <c r="D62" s="58"/>
      <c r="E62" s="59"/>
      <c r="F62" s="59"/>
      <c r="G62" s="59"/>
      <c r="H62" s="59"/>
      <c r="I62" s="59"/>
      <c r="J62" s="244"/>
      <c r="K62" s="68"/>
      <c r="L62" s="99"/>
      <c r="M62" s="59"/>
      <c r="N62" s="99"/>
      <c r="O62" s="72"/>
    </row>
    <row r="63" spans="1:15" ht="15.75" hidden="1" customHeight="1">
      <c r="A63" s="63">
        <v>50</v>
      </c>
      <c r="B63" s="64"/>
      <c r="C63" s="108"/>
      <c r="D63" s="58"/>
      <c r="E63" s="59"/>
      <c r="F63" s="59"/>
      <c r="G63" s="59"/>
      <c r="H63" s="59"/>
      <c r="I63" s="59"/>
      <c r="J63" s="244"/>
      <c r="K63" s="68"/>
      <c r="L63" s="99"/>
      <c r="M63" s="59"/>
      <c r="N63" s="99"/>
      <c r="O63" s="72"/>
    </row>
    <row r="64" spans="1:15" ht="15.75" hidden="1" customHeight="1">
      <c r="A64" s="63">
        <v>51</v>
      </c>
      <c r="B64" s="64"/>
      <c r="C64" s="108"/>
      <c r="D64" s="58"/>
      <c r="E64" s="60"/>
      <c r="F64" s="59"/>
      <c r="G64" s="59"/>
      <c r="H64" s="59"/>
      <c r="I64" s="59"/>
      <c r="J64" s="244"/>
      <c r="K64" s="68"/>
      <c r="L64" s="99"/>
      <c r="M64" s="59"/>
      <c r="N64" s="99"/>
      <c r="O64" s="72"/>
    </row>
    <row r="65" spans="1:15" ht="15.75" hidden="1" customHeight="1">
      <c r="A65" s="63">
        <v>52</v>
      </c>
      <c r="B65" s="64"/>
      <c r="C65" s="108"/>
      <c r="D65" s="58"/>
      <c r="E65" s="59"/>
      <c r="F65" s="59"/>
      <c r="G65" s="59"/>
      <c r="H65" s="59"/>
      <c r="I65" s="59"/>
      <c r="J65" s="244"/>
      <c r="K65" s="68"/>
      <c r="L65" s="99"/>
      <c r="M65" s="59"/>
      <c r="N65" s="99"/>
      <c r="O65" s="72"/>
    </row>
    <row r="66" spans="1:15" ht="15.75" hidden="1" customHeight="1">
      <c r="A66" s="63">
        <v>53</v>
      </c>
      <c r="B66" s="64"/>
      <c r="C66" s="108"/>
      <c r="D66" s="58"/>
      <c r="E66" s="59"/>
      <c r="F66" s="59"/>
      <c r="G66" s="59"/>
      <c r="H66" s="59"/>
      <c r="I66" s="59"/>
      <c r="J66" s="244"/>
      <c r="K66" s="68"/>
      <c r="L66" s="99"/>
      <c r="M66" s="59"/>
      <c r="N66" s="99"/>
      <c r="O66" s="72"/>
    </row>
    <row r="67" spans="1:15" ht="15.75" hidden="1" customHeight="1">
      <c r="A67" s="63">
        <v>54</v>
      </c>
      <c r="B67" s="64"/>
      <c r="C67" s="108"/>
      <c r="D67" s="58"/>
      <c r="E67" s="59"/>
      <c r="F67" s="59"/>
      <c r="G67" s="59"/>
      <c r="H67" s="59"/>
      <c r="I67" s="59"/>
      <c r="J67" s="244"/>
      <c r="K67" s="68"/>
      <c r="L67" s="99"/>
      <c r="M67" s="59"/>
      <c r="N67" s="99"/>
      <c r="O67" s="72"/>
    </row>
    <row r="68" spans="1:15" ht="15.75" hidden="1" customHeight="1">
      <c r="A68" s="63">
        <v>55</v>
      </c>
      <c r="B68" s="64"/>
      <c r="C68" s="110"/>
      <c r="D68" s="78"/>
      <c r="E68" s="59"/>
      <c r="F68" s="79"/>
      <c r="G68" s="79"/>
      <c r="H68" s="79"/>
      <c r="I68" s="79"/>
      <c r="J68" s="252"/>
      <c r="K68" s="68"/>
      <c r="L68" s="99"/>
      <c r="M68" s="79"/>
      <c r="N68" s="99"/>
      <c r="O68" s="80"/>
    </row>
    <row r="69" spans="1:15" ht="15.75" hidden="1" customHeight="1">
      <c r="A69" s="63">
        <v>56</v>
      </c>
      <c r="B69" s="64"/>
      <c r="C69" s="110"/>
      <c r="D69" s="78"/>
      <c r="E69" s="79"/>
      <c r="F69" s="79"/>
      <c r="G69" s="79"/>
      <c r="H69" s="79"/>
      <c r="I69" s="79"/>
      <c r="J69" s="252"/>
      <c r="K69" s="68"/>
      <c r="L69" s="99"/>
      <c r="M69" s="79"/>
      <c r="N69" s="99"/>
      <c r="O69" s="80"/>
    </row>
    <row r="70" spans="1:15" ht="15.75" hidden="1" customHeight="1">
      <c r="A70" s="63">
        <v>57</v>
      </c>
      <c r="B70" s="64"/>
      <c r="C70" s="110"/>
      <c r="D70" s="78"/>
      <c r="E70" s="79"/>
      <c r="F70" s="79"/>
      <c r="G70" s="79"/>
      <c r="H70" s="79"/>
      <c r="I70" s="79"/>
      <c r="J70" s="252"/>
      <c r="K70" s="68"/>
      <c r="L70" s="99"/>
      <c r="M70" s="79"/>
      <c r="N70" s="99"/>
      <c r="O70" s="80"/>
    </row>
    <row r="71" spans="1:15" ht="15.75" hidden="1" customHeight="1">
      <c r="A71" s="63">
        <v>58</v>
      </c>
      <c r="B71" s="64"/>
      <c r="C71" s="110"/>
      <c r="D71" s="78"/>
      <c r="E71" s="79"/>
      <c r="F71" s="79"/>
      <c r="G71" s="79"/>
      <c r="H71" s="79"/>
      <c r="I71" s="79"/>
      <c r="J71" s="252"/>
      <c r="K71" s="68"/>
      <c r="L71" s="99"/>
      <c r="M71" s="79"/>
      <c r="N71" s="99"/>
      <c r="O71" s="80"/>
    </row>
    <row r="72" spans="1:15" ht="15.75" hidden="1" customHeight="1">
      <c r="A72" s="63">
        <v>59</v>
      </c>
      <c r="B72" s="64"/>
      <c r="C72" s="110"/>
      <c r="D72" s="78"/>
      <c r="E72" s="79"/>
      <c r="F72" s="79"/>
      <c r="G72" s="79"/>
      <c r="H72" s="79"/>
      <c r="I72" s="79"/>
      <c r="J72" s="252"/>
      <c r="K72" s="68"/>
      <c r="L72" s="99"/>
      <c r="M72" s="79"/>
      <c r="N72" s="99"/>
      <c r="O72" s="80"/>
    </row>
    <row r="73" spans="1:15" ht="15" customHeight="1">
      <c r="J73" s="253"/>
    </row>
    <row r="74" spans="1:15" ht="15" customHeight="1">
      <c r="J74" s="253"/>
    </row>
    <row r="75" spans="1:15" ht="15" customHeight="1">
      <c r="J75" s="253"/>
    </row>
    <row r="76" spans="1:15" ht="15" customHeight="1">
      <c r="J76" s="253"/>
    </row>
    <row r="77" spans="1:15" ht="15" customHeight="1">
      <c r="J77" s="253"/>
    </row>
    <row r="78" spans="1:15" ht="15" customHeight="1">
      <c r="J78" s="253"/>
    </row>
    <row r="79" spans="1:15" ht="15" customHeight="1">
      <c r="J79" s="253"/>
    </row>
    <row r="80" spans="1:15" ht="15" customHeight="1">
      <c r="J80" s="253"/>
    </row>
    <row r="81" spans="10:10" ht="15" customHeight="1">
      <c r="J81" s="253"/>
    </row>
    <row r="82" spans="10:10" ht="15" customHeight="1">
      <c r="J82" s="253"/>
    </row>
    <row r="83" spans="10:10" ht="15" customHeight="1">
      <c r="J83" s="253"/>
    </row>
    <row r="84" spans="10:10" ht="15" customHeight="1">
      <c r="J84" s="253"/>
    </row>
    <row r="85" spans="10:10" ht="15" customHeight="1">
      <c r="J85" s="253"/>
    </row>
    <row r="86" spans="10:10" ht="15" customHeight="1">
      <c r="J86" s="253"/>
    </row>
    <row r="87" spans="10:10" ht="15" customHeight="1">
      <c r="J87" s="253"/>
    </row>
    <row r="88" spans="10:10" ht="15" customHeight="1">
      <c r="J88" s="253"/>
    </row>
    <row r="89" spans="10:10" ht="15" customHeight="1">
      <c r="J89" s="253"/>
    </row>
    <row r="90" spans="10:10" ht="15" customHeight="1">
      <c r="J90" s="253"/>
    </row>
    <row r="91" spans="10:10" ht="15" customHeight="1">
      <c r="J91" s="253"/>
    </row>
    <row r="92" spans="10:10" ht="15" customHeight="1">
      <c r="J92" s="253"/>
    </row>
    <row r="93" spans="10:10" ht="15" customHeight="1">
      <c r="J93" s="253"/>
    </row>
    <row r="94" spans="10:10" ht="15" customHeight="1">
      <c r="J94" s="253"/>
    </row>
    <row r="95" spans="10:10" ht="15" customHeight="1">
      <c r="J95" s="253"/>
    </row>
    <row r="96" spans="10:10" ht="15" customHeight="1">
      <c r="J96" s="253"/>
    </row>
    <row r="97" spans="10:10" ht="15" customHeight="1">
      <c r="J97" s="253"/>
    </row>
    <row r="98" spans="10:10" ht="15" customHeight="1">
      <c r="J98" s="253"/>
    </row>
    <row r="99" spans="10:10" ht="15" customHeight="1">
      <c r="J99" s="253"/>
    </row>
    <row r="100" spans="10:10" ht="15" customHeight="1">
      <c r="J100" s="253"/>
    </row>
    <row r="101" spans="10:10" ht="15" customHeight="1">
      <c r="J101" s="253"/>
    </row>
    <row r="102" spans="10:10" ht="15" customHeight="1">
      <c r="J102" s="253"/>
    </row>
    <row r="103" spans="10:10" ht="15" customHeight="1">
      <c r="J103" s="253"/>
    </row>
    <row r="104" spans="10:10" ht="15" customHeight="1">
      <c r="J104" s="253"/>
    </row>
    <row r="105" spans="10:10" ht="15" customHeight="1">
      <c r="J105" s="253"/>
    </row>
    <row r="106" spans="10:10" ht="15" customHeight="1">
      <c r="J106" s="253"/>
    </row>
    <row r="107" spans="10:10" ht="15" customHeight="1">
      <c r="J107" s="253"/>
    </row>
    <row r="108" spans="10:10" ht="15" customHeight="1">
      <c r="J108" s="253"/>
    </row>
    <row r="109" spans="10:10" ht="15" customHeight="1">
      <c r="J109" s="253"/>
    </row>
    <row r="110" spans="10:10" ht="15" customHeight="1">
      <c r="J110" s="253"/>
    </row>
    <row r="111" spans="10:10" ht="15" customHeight="1">
      <c r="J111" s="253"/>
    </row>
    <row r="112" spans="10:10" ht="15" customHeight="1">
      <c r="J112" s="253"/>
    </row>
    <row r="113" spans="10:10" ht="15" customHeight="1">
      <c r="J113" s="253"/>
    </row>
    <row r="114" spans="10:10" ht="15" customHeight="1">
      <c r="J114" s="253"/>
    </row>
    <row r="115" spans="10:10" ht="15" customHeight="1">
      <c r="J115" s="253"/>
    </row>
    <row r="116" spans="10:10" ht="15" customHeight="1">
      <c r="J116" s="253"/>
    </row>
    <row r="117" spans="10:10" ht="15" customHeight="1">
      <c r="J117" s="253"/>
    </row>
    <row r="118" spans="10:10" ht="15" customHeight="1">
      <c r="J118" s="253"/>
    </row>
    <row r="119" spans="10:10" ht="15" customHeight="1">
      <c r="J119" s="253"/>
    </row>
    <row r="120" spans="10:10" ht="15" customHeight="1">
      <c r="J120" s="253"/>
    </row>
    <row r="121" spans="10:10" ht="15" customHeight="1">
      <c r="J121" s="253"/>
    </row>
    <row r="122" spans="10:10" ht="15" customHeight="1">
      <c r="J122" s="253"/>
    </row>
    <row r="123" spans="10:10" ht="15" customHeight="1">
      <c r="J123" s="253"/>
    </row>
    <row r="124" spans="10:10" ht="15" customHeight="1">
      <c r="J124" s="253"/>
    </row>
    <row r="125" spans="10:10" ht="15" customHeight="1">
      <c r="J125" s="253"/>
    </row>
    <row r="126" spans="10:10" ht="15" customHeight="1">
      <c r="J126" s="253"/>
    </row>
    <row r="127" spans="10:10" ht="15" customHeight="1">
      <c r="J127" s="253"/>
    </row>
    <row r="128" spans="10:10" ht="15" customHeight="1">
      <c r="J128" s="253"/>
    </row>
    <row r="129" spans="10:10" ht="15" customHeight="1">
      <c r="J129" s="253"/>
    </row>
    <row r="130" spans="10:10" ht="15" customHeight="1">
      <c r="J130" s="253"/>
    </row>
    <row r="131" spans="10:10" ht="15" customHeight="1">
      <c r="J131" s="253"/>
    </row>
    <row r="132" spans="10:10" ht="15" customHeight="1">
      <c r="J132" s="253"/>
    </row>
    <row r="133" spans="10:10" ht="15" customHeight="1">
      <c r="J133" s="253"/>
    </row>
    <row r="134" spans="10:10" ht="15" customHeight="1">
      <c r="J134" s="253"/>
    </row>
    <row r="135" spans="10:10" ht="15" customHeight="1">
      <c r="J135" s="253"/>
    </row>
    <row r="136" spans="10:10" ht="15" customHeight="1">
      <c r="J136" s="253"/>
    </row>
    <row r="137" spans="10:10" ht="15" customHeight="1">
      <c r="J137" s="253"/>
    </row>
    <row r="138" spans="10:10" ht="15" customHeight="1">
      <c r="J138" s="253"/>
    </row>
    <row r="139" spans="10:10" ht="15" customHeight="1">
      <c r="J139" s="253"/>
    </row>
    <row r="140" spans="10:10" ht="15" customHeight="1">
      <c r="J140" s="253"/>
    </row>
    <row r="141" spans="10:10" ht="15" customHeight="1">
      <c r="J141" s="253"/>
    </row>
    <row r="142" spans="10:10" ht="15" customHeight="1">
      <c r="J142" s="253"/>
    </row>
    <row r="143" spans="10:10" ht="15" customHeight="1">
      <c r="J143" s="253"/>
    </row>
    <row r="144" spans="10:10" ht="15" customHeight="1">
      <c r="J144" s="253"/>
    </row>
    <row r="145" spans="10:10" ht="15" customHeight="1">
      <c r="J145" s="253"/>
    </row>
    <row r="146" spans="10:10" ht="15" customHeight="1">
      <c r="J146" s="253"/>
    </row>
    <row r="147" spans="10:10" ht="15" customHeight="1">
      <c r="J147" s="253"/>
    </row>
    <row r="148" spans="10:10" ht="15" customHeight="1">
      <c r="J148" s="253"/>
    </row>
    <row r="149" spans="10:10" ht="15" customHeight="1">
      <c r="J149" s="253"/>
    </row>
    <row r="150" spans="10:10" ht="15" customHeight="1">
      <c r="J150" s="253"/>
    </row>
    <row r="151" spans="10:10" ht="15" customHeight="1">
      <c r="J151" s="253"/>
    </row>
    <row r="152" spans="10:10" ht="15" customHeight="1">
      <c r="J152" s="253"/>
    </row>
    <row r="153" spans="10:10" ht="15" customHeight="1">
      <c r="J153" s="253"/>
    </row>
    <row r="154" spans="10:10" ht="15" customHeight="1">
      <c r="J154" s="253"/>
    </row>
    <row r="155" spans="10:10" ht="15" customHeight="1">
      <c r="J155" s="253"/>
    </row>
    <row r="156" spans="10:10" ht="15" customHeight="1">
      <c r="J156" s="253"/>
    </row>
    <row r="157" spans="10:10" ht="15" customHeight="1">
      <c r="J157" s="253"/>
    </row>
    <row r="158" spans="10:10" ht="15" customHeight="1">
      <c r="J158" s="253"/>
    </row>
    <row r="159" spans="10:10" ht="15" customHeight="1">
      <c r="J159" s="253"/>
    </row>
    <row r="160" spans="10:10" ht="15" customHeight="1">
      <c r="J160" s="253"/>
    </row>
    <row r="161" spans="10:10" ht="15" customHeight="1">
      <c r="J161" s="253"/>
    </row>
    <row r="162" spans="10:10" ht="15" customHeight="1">
      <c r="J162" s="253"/>
    </row>
    <row r="163" spans="10:10" ht="15" customHeight="1">
      <c r="J163" s="253"/>
    </row>
    <row r="164" spans="10:10" ht="15" customHeight="1">
      <c r="J164" s="253"/>
    </row>
    <row r="165" spans="10:10" ht="15" customHeight="1">
      <c r="J165" s="253"/>
    </row>
    <row r="166" spans="10:10" ht="15" customHeight="1">
      <c r="J166" s="253"/>
    </row>
    <row r="167" spans="10:10" ht="15" customHeight="1">
      <c r="J167" s="253"/>
    </row>
    <row r="168" spans="10:10" ht="15" customHeight="1">
      <c r="J168" s="253"/>
    </row>
    <row r="169" spans="10:10" ht="15" customHeight="1">
      <c r="J169" s="253"/>
    </row>
    <row r="170" spans="10:10" ht="15" customHeight="1">
      <c r="J170" s="253"/>
    </row>
    <row r="171" spans="10:10" ht="15" customHeight="1">
      <c r="J171" s="253"/>
    </row>
    <row r="172" spans="10:10" ht="15" customHeight="1">
      <c r="J172" s="253"/>
    </row>
    <row r="173" spans="10:10" ht="15" customHeight="1">
      <c r="J173" s="253"/>
    </row>
    <row r="174" spans="10:10" ht="15" customHeight="1">
      <c r="J174" s="253"/>
    </row>
    <row r="175" spans="10:10" ht="15" customHeight="1">
      <c r="J175" s="253"/>
    </row>
    <row r="176" spans="10:10" ht="15" customHeight="1">
      <c r="J176" s="253"/>
    </row>
    <row r="177" spans="10:10" ht="15" customHeight="1">
      <c r="J177" s="253"/>
    </row>
    <row r="178" spans="10:10" ht="15" customHeight="1">
      <c r="J178" s="253"/>
    </row>
    <row r="179" spans="10:10" ht="15" customHeight="1">
      <c r="J179" s="253"/>
    </row>
    <row r="180" spans="10:10" ht="15" customHeight="1">
      <c r="J180" s="253"/>
    </row>
    <row r="181" spans="10:10" ht="15" customHeight="1">
      <c r="J181" s="253"/>
    </row>
    <row r="182" spans="10:10" ht="15" customHeight="1">
      <c r="J182" s="253"/>
    </row>
    <row r="183" spans="10:10" ht="15" customHeight="1">
      <c r="J183" s="253"/>
    </row>
    <row r="184" spans="10:10" ht="15" customHeight="1">
      <c r="J184" s="253"/>
    </row>
    <row r="185" spans="10:10" ht="15" customHeight="1">
      <c r="J185" s="253"/>
    </row>
    <row r="265" spans="3:3" ht="15" customHeight="1">
      <c r="C265" t="s">
        <v>423</v>
      </c>
    </row>
  </sheetData>
  <conditionalFormatting sqref="M2:M42">
    <cfRule type="cellIs" dxfId="31" priority="1" operator="equal">
      <formula>"In Process"</formula>
    </cfRule>
    <cfRule type="cellIs" dxfId="30" priority="2" operator="equal">
      <formula>"Not Received"</formula>
    </cfRule>
    <cfRule type="cellIs" dxfId="29" priority="3" operator="equal">
      <formula>"Paid By Client"</formula>
    </cfRule>
    <cfRule type="cellIs" dxfId="28" priority="4" operator="equal">
      <formula>"Payment Received"</formula>
    </cfRule>
  </conditionalFormatting>
  <dataValidations count="1">
    <dataValidation type="list" allowBlank="1" showInputMessage="1" showErrorMessage="1" sqref="D2:D39" xr:uid="{00000000-0002-0000-0C00-000000000000}">
      <formula1>client</formula1>
    </dataValidation>
  </dataValidations>
  <pageMargins left="0.7" right="0.7" top="0.75" bottom="0.75" header="0" footer="0"/>
  <pageSetup scale="84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5"/>
  <sheetViews>
    <sheetView topLeftCell="F1" workbookViewId="0">
      <pane ySplit="1" topLeftCell="A2" activePane="bottomLeft" state="frozen"/>
      <selection pane="bottomLeft" activeCell="V18" sqref="V18"/>
      <selection activeCell="V18" sqref="V18"/>
    </sheetView>
  </sheetViews>
  <sheetFormatPr defaultColWidth="14.42578125" defaultRowHeight="15" customHeight="1"/>
  <cols>
    <col min="1" max="1" width="8.7109375" customWidth="1"/>
    <col min="2" max="2" width="19" customWidth="1"/>
    <col min="3" max="3" width="19.7109375" customWidth="1"/>
    <col min="4" max="4" width="19.85546875" customWidth="1"/>
    <col min="5" max="5" width="52.140625" customWidth="1"/>
    <col min="6" max="6" width="24.7109375" customWidth="1"/>
    <col min="7" max="7" width="23" customWidth="1"/>
    <col min="8" max="8" width="26.140625" bestFit="1" customWidth="1"/>
    <col min="9" max="9" width="17.28515625" customWidth="1"/>
    <col min="10" max="10" width="20.85546875" customWidth="1"/>
    <col min="11" max="12" width="22.7109375" customWidth="1"/>
    <col min="13" max="13" width="21.42578125" customWidth="1"/>
    <col min="14" max="14" width="22.7109375" customWidth="1"/>
    <col min="15" max="15" width="85.28515625" customWidth="1"/>
  </cols>
  <sheetData>
    <row r="1" spans="1:28" ht="33" customHeight="1">
      <c r="A1" s="146" t="s">
        <v>15</v>
      </c>
      <c r="B1" s="149" t="s">
        <v>219</v>
      </c>
      <c r="C1" s="149" t="s">
        <v>220</v>
      </c>
      <c r="D1" s="147" t="s">
        <v>221</v>
      </c>
      <c r="E1" s="147" t="s">
        <v>222</v>
      </c>
      <c r="F1" s="147" t="s">
        <v>223</v>
      </c>
      <c r="G1" s="147" t="s">
        <v>224</v>
      </c>
      <c r="H1" s="147" t="s">
        <v>225</v>
      </c>
      <c r="I1" s="147" t="s">
        <v>226</v>
      </c>
      <c r="J1" s="149" t="s">
        <v>330</v>
      </c>
      <c r="K1" s="146" t="s">
        <v>227</v>
      </c>
      <c r="L1" s="148" t="s">
        <v>228</v>
      </c>
      <c r="M1" s="149" t="s">
        <v>229</v>
      </c>
      <c r="N1" s="148" t="s">
        <v>230</v>
      </c>
      <c r="O1" s="146" t="s">
        <v>18</v>
      </c>
    </row>
    <row r="2" spans="1:28" ht="15.75">
      <c r="A2" s="5">
        <v>1</v>
      </c>
      <c r="B2" s="128"/>
      <c r="C2" s="139"/>
      <c r="D2" s="257"/>
      <c r="E2" s="131"/>
      <c r="F2" s="156"/>
      <c r="G2" s="210"/>
      <c r="H2" s="133"/>
      <c r="I2" s="133"/>
      <c r="J2" s="150"/>
      <c r="K2" s="224"/>
      <c r="L2" s="150"/>
      <c r="M2" s="234"/>
      <c r="N2" s="208"/>
      <c r="O2" s="238"/>
      <c r="AB2" s="130" t="s">
        <v>0</v>
      </c>
    </row>
    <row r="3" spans="1:28" ht="15.75">
      <c r="A3" s="9">
        <v>2</v>
      </c>
      <c r="B3" s="136"/>
      <c r="C3" s="139"/>
      <c r="D3" s="257"/>
      <c r="E3" s="241"/>
      <c r="F3" s="156"/>
      <c r="G3" s="210"/>
      <c r="H3" s="133"/>
      <c r="I3" s="133"/>
      <c r="J3" s="150"/>
      <c r="K3" s="224"/>
      <c r="L3" s="150"/>
      <c r="M3" s="137"/>
      <c r="N3" s="69"/>
      <c r="O3" s="238"/>
      <c r="AB3" t="s">
        <v>2</v>
      </c>
    </row>
    <row r="4" spans="1:28" ht="15.75">
      <c r="A4" s="9">
        <v>3</v>
      </c>
      <c r="B4" s="128"/>
      <c r="C4" s="139"/>
      <c r="D4" s="257"/>
      <c r="E4" s="241"/>
      <c r="F4" s="156"/>
      <c r="G4" s="210"/>
      <c r="H4" s="133"/>
      <c r="I4" s="133"/>
      <c r="J4" s="150"/>
      <c r="K4" s="224"/>
      <c r="L4" s="150"/>
      <c r="M4" s="137"/>
      <c r="N4" s="208"/>
      <c r="O4" s="238"/>
      <c r="AB4" t="s">
        <v>6</v>
      </c>
    </row>
    <row r="5" spans="1:28" ht="15.75">
      <c r="A5" s="9">
        <v>4</v>
      </c>
      <c r="B5" s="128"/>
      <c r="C5" s="129"/>
      <c r="D5" s="257"/>
      <c r="E5" s="131"/>
      <c r="F5" s="197"/>
      <c r="G5" s="132"/>
      <c r="H5" s="133"/>
      <c r="I5" s="133"/>
      <c r="J5" s="150"/>
      <c r="K5" s="124"/>
      <c r="L5" s="150"/>
      <c r="M5" s="137"/>
      <c r="N5" s="208"/>
      <c r="O5" s="238"/>
      <c r="AB5" t="s">
        <v>4</v>
      </c>
    </row>
    <row r="6" spans="1:28" ht="15.75">
      <c r="A6" s="195">
        <v>5</v>
      </c>
      <c r="B6" s="128"/>
      <c r="C6" s="129"/>
      <c r="D6" s="257"/>
      <c r="E6" s="131"/>
      <c r="F6" s="197"/>
      <c r="G6" s="198"/>
      <c r="H6" s="133"/>
      <c r="I6" s="133"/>
      <c r="J6" s="150"/>
      <c r="K6" s="224"/>
      <c r="L6" s="150"/>
      <c r="M6" s="137"/>
      <c r="N6" s="200"/>
      <c r="O6" s="239"/>
      <c r="AB6" t="s">
        <v>8</v>
      </c>
    </row>
    <row r="7" spans="1:28" ht="15.75">
      <c r="A7" s="9">
        <v>6</v>
      </c>
      <c r="B7" s="136"/>
      <c r="C7" s="139"/>
      <c r="D7" s="257"/>
      <c r="E7" s="131"/>
      <c r="F7" s="157"/>
      <c r="G7" s="154"/>
      <c r="H7" s="133"/>
      <c r="I7" s="137"/>
      <c r="J7" s="150"/>
      <c r="K7" s="224"/>
      <c r="L7" s="150"/>
      <c r="M7" s="137"/>
      <c r="N7" s="208"/>
      <c r="O7" s="239"/>
    </row>
    <row r="8" spans="1:28" ht="15.75">
      <c r="A8" s="195">
        <v>7</v>
      </c>
      <c r="B8" s="136"/>
      <c r="C8" s="139"/>
      <c r="D8" s="130"/>
      <c r="E8" s="241"/>
      <c r="F8" s="157"/>
      <c r="G8" s="210"/>
      <c r="H8" s="154"/>
      <c r="I8" s="137"/>
      <c r="J8" s="242"/>
      <c r="K8" s="224"/>
      <c r="L8" s="150"/>
      <c r="M8" s="137"/>
      <c r="N8" s="208"/>
      <c r="O8" s="239"/>
    </row>
    <row r="9" spans="1:28" ht="15.75">
      <c r="A9" s="9">
        <v>8</v>
      </c>
      <c r="B9" s="136"/>
      <c r="C9" s="139"/>
      <c r="D9" s="130"/>
      <c r="E9" s="131"/>
      <c r="F9" s="157"/>
      <c r="G9" s="210"/>
      <c r="H9" s="154"/>
      <c r="I9" s="137"/>
      <c r="J9" s="242"/>
      <c r="K9" s="224"/>
      <c r="L9" s="150"/>
      <c r="M9" s="137"/>
      <c r="N9" s="161"/>
      <c r="O9" s="239"/>
    </row>
    <row r="10" spans="1:28" ht="15.75">
      <c r="A10" s="195">
        <v>9</v>
      </c>
      <c r="B10" s="136"/>
      <c r="C10" s="139"/>
      <c r="D10" s="130"/>
      <c r="E10" s="131"/>
      <c r="F10" s="157"/>
      <c r="G10" s="137"/>
      <c r="H10" s="154"/>
      <c r="I10" s="137"/>
      <c r="J10" s="242"/>
      <c r="K10" s="224"/>
      <c r="L10" s="150"/>
      <c r="M10" s="137"/>
      <c r="N10" s="208"/>
      <c r="O10" s="239"/>
    </row>
    <row r="11" spans="1:28" ht="15.75">
      <c r="A11" s="9">
        <v>10</v>
      </c>
      <c r="B11" s="136"/>
      <c r="C11" s="139"/>
      <c r="D11" s="130"/>
      <c r="E11" s="131"/>
      <c r="F11" s="157"/>
      <c r="G11" s="137"/>
      <c r="H11" s="154"/>
      <c r="I11" s="137"/>
      <c r="J11" s="242"/>
      <c r="K11" s="224"/>
      <c r="L11" s="150"/>
      <c r="M11" s="137"/>
      <c r="N11" s="208"/>
      <c r="O11" s="239"/>
    </row>
    <row r="12" spans="1:28" ht="15.75">
      <c r="A12" s="195">
        <v>11</v>
      </c>
      <c r="B12" s="136"/>
      <c r="C12" s="139"/>
      <c r="D12" s="130"/>
      <c r="E12" s="131"/>
      <c r="F12" s="157"/>
      <c r="G12" s="137"/>
      <c r="H12" s="154"/>
      <c r="I12" s="137"/>
      <c r="J12" s="242"/>
      <c r="K12" s="224"/>
      <c r="L12" s="151"/>
      <c r="M12" s="137"/>
      <c r="N12" s="208"/>
      <c r="O12" s="138"/>
    </row>
    <row r="13" spans="1:28" ht="15.75">
      <c r="A13" s="9">
        <v>12</v>
      </c>
      <c r="B13" s="136"/>
      <c r="C13" s="139"/>
      <c r="D13" s="130"/>
      <c r="E13" s="142"/>
      <c r="F13" s="157"/>
      <c r="G13" s="137"/>
      <c r="H13" s="154"/>
      <c r="I13" s="137"/>
      <c r="J13" s="242"/>
      <c r="K13" s="224"/>
      <c r="L13" s="151"/>
      <c r="M13" s="137"/>
      <c r="N13" s="208"/>
      <c r="O13" s="138"/>
    </row>
    <row r="14" spans="1:28" ht="15.75">
      <c r="A14" s="195">
        <v>13</v>
      </c>
      <c r="B14" s="136"/>
      <c r="C14" s="139"/>
      <c r="D14" s="130"/>
      <c r="E14" s="142"/>
      <c r="F14" s="157"/>
      <c r="G14" s="137"/>
      <c r="H14" s="210"/>
      <c r="I14" s="137"/>
      <c r="J14" s="242"/>
      <c r="K14" s="124"/>
      <c r="L14" s="151"/>
      <c r="M14" s="137"/>
      <c r="N14" s="211"/>
      <c r="O14" s="138"/>
    </row>
    <row r="15" spans="1:28" ht="15.75">
      <c r="A15" s="9">
        <v>14</v>
      </c>
      <c r="B15" s="136"/>
      <c r="C15" s="139"/>
      <c r="D15" s="130"/>
      <c r="E15" s="142"/>
      <c r="F15" s="157"/>
      <c r="G15" s="137"/>
      <c r="H15" s="137"/>
      <c r="I15" s="137"/>
      <c r="J15" s="242"/>
      <c r="K15" s="224"/>
      <c r="L15" s="151"/>
      <c r="M15" s="137"/>
      <c r="N15" s="211"/>
      <c r="O15" s="138"/>
    </row>
    <row r="16" spans="1:28" ht="15.75">
      <c r="A16" s="195">
        <v>15</v>
      </c>
      <c r="B16" s="136"/>
      <c r="C16" s="139"/>
      <c r="D16" s="130"/>
      <c r="E16" s="142"/>
      <c r="F16" s="157"/>
      <c r="G16" s="137"/>
      <c r="H16" s="137"/>
      <c r="I16" s="137"/>
      <c r="J16" s="242"/>
      <c r="K16" s="124"/>
      <c r="L16" s="151"/>
      <c r="M16" s="137"/>
      <c r="N16" s="120"/>
      <c r="O16" s="138"/>
    </row>
    <row r="17" spans="1:15" ht="15.75">
      <c r="A17" s="9">
        <v>16</v>
      </c>
      <c r="B17" s="136"/>
      <c r="C17" s="139"/>
      <c r="D17" s="130"/>
      <c r="E17" s="142"/>
      <c r="F17" s="157"/>
      <c r="G17" s="137"/>
      <c r="H17" s="137"/>
      <c r="I17" s="137"/>
      <c r="J17" s="242"/>
      <c r="K17" s="124"/>
      <c r="L17" s="151"/>
      <c r="M17" s="137"/>
      <c r="N17" s="120"/>
      <c r="O17" s="138"/>
    </row>
    <row r="18" spans="1:15" ht="15.75">
      <c r="A18" s="195">
        <v>17</v>
      </c>
      <c r="B18" s="136"/>
      <c r="C18" s="139"/>
      <c r="D18" s="130"/>
      <c r="E18" s="141"/>
      <c r="F18" s="157"/>
      <c r="G18" s="137"/>
      <c r="H18" s="137"/>
      <c r="I18" s="137"/>
      <c r="J18" s="242"/>
      <c r="K18" s="124"/>
      <c r="L18" s="151"/>
      <c r="M18" s="137"/>
      <c r="N18" s="120"/>
      <c r="O18" s="143"/>
    </row>
    <row r="19" spans="1:15" ht="15.75" customHeight="1">
      <c r="A19" s="9">
        <v>18</v>
      </c>
      <c r="B19" s="136"/>
      <c r="C19" s="139"/>
      <c r="D19" s="130"/>
      <c r="E19" s="131"/>
      <c r="F19" s="157"/>
      <c r="G19" s="137"/>
      <c r="H19" s="137"/>
      <c r="I19" s="137"/>
      <c r="J19" s="242"/>
      <c r="K19" s="124"/>
      <c r="L19" s="151"/>
      <c r="M19" s="137"/>
      <c r="N19" s="120"/>
      <c r="O19" s="140"/>
    </row>
    <row r="20" spans="1:15" ht="15.75" customHeight="1">
      <c r="A20" s="195">
        <v>19</v>
      </c>
      <c r="B20" s="136"/>
      <c r="C20" s="139"/>
      <c r="D20" s="130"/>
      <c r="E20" s="131"/>
      <c r="F20" s="157"/>
      <c r="G20" s="137"/>
      <c r="H20" s="137"/>
      <c r="I20" s="137"/>
      <c r="J20" s="242"/>
      <c r="K20" s="124"/>
      <c r="L20" s="151"/>
      <c r="M20" s="137"/>
      <c r="N20" s="120"/>
      <c r="O20" s="140"/>
    </row>
    <row r="21" spans="1:15" ht="15.75" customHeight="1">
      <c r="A21" s="9">
        <v>20</v>
      </c>
      <c r="B21" s="136"/>
      <c r="C21" s="139"/>
      <c r="D21" s="130"/>
      <c r="E21" s="131"/>
      <c r="F21" s="157"/>
      <c r="G21" s="137"/>
      <c r="H21" s="137"/>
      <c r="I21" s="137"/>
      <c r="J21" s="242"/>
      <c r="K21" s="126"/>
      <c r="L21" s="151"/>
      <c r="M21" s="137"/>
      <c r="N21" s="120"/>
      <c r="O21" s="143"/>
    </row>
    <row r="22" spans="1:15" ht="15.75" customHeight="1">
      <c r="A22" s="195">
        <v>21</v>
      </c>
      <c r="B22" s="136"/>
      <c r="C22" s="139"/>
      <c r="D22" s="130"/>
      <c r="E22" s="131"/>
      <c r="F22" s="157"/>
      <c r="G22" s="137"/>
      <c r="H22" s="137"/>
      <c r="I22" s="137"/>
      <c r="J22" s="242"/>
      <c r="K22" s="127"/>
      <c r="L22" s="151"/>
      <c r="M22" s="137"/>
      <c r="N22" s="120"/>
      <c r="O22" s="140"/>
    </row>
    <row r="23" spans="1:15" ht="15.75" customHeight="1">
      <c r="A23" s="9">
        <v>22</v>
      </c>
      <c r="B23" s="136"/>
      <c r="C23" s="139"/>
      <c r="D23" s="130"/>
      <c r="E23" s="131"/>
      <c r="F23" s="157"/>
      <c r="G23" s="137"/>
      <c r="H23" s="137"/>
      <c r="I23" s="137"/>
      <c r="J23" s="242"/>
      <c r="K23" s="127"/>
      <c r="L23" s="151"/>
      <c r="M23" s="144"/>
      <c r="N23" s="120"/>
      <c r="O23" s="140"/>
    </row>
    <row r="24" spans="1:15" ht="15.75" customHeight="1">
      <c r="A24" s="195">
        <v>23</v>
      </c>
      <c r="B24" s="136"/>
      <c r="C24" s="139"/>
      <c r="D24" s="130"/>
      <c r="E24" s="142"/>
      <c r="F24" s="157"/>
      <c r="G24" s="137"/>
      <c r="H24" s="137"/>
      <c r="I24" s="137"/>
      <c r="J24" s="242"/>
      <c r="K24" s="127"/>
      <c r="L24" s="151"/>
      <c r="M24" s="144"/>
      <c r="N24" s="120"/>
      <c r="O24" s="140"/>
    </row>
    <row r="25" spans="1:15" ht="15.75" customHeight="1">
      <c r="A25" s="9"/>
      <c r="B25" s="136"/>
      <c r="C25" s="139"/>
      <c r="D25" s="130"/>
      <c r="E25" s="142"/>
      <c r="F25" s="157"/>
      <c r="G25" s="137"/>
      <c r="H25" s="137"/>
      <c r="I25" s="137"/>
      <c r="J25" s="242"/>
      <c r="K25" s="127"/>
      <c r="L25" s="151"/>
      <c r="M25" s="144"/>
      <c r="N25" s="120"/>
      <c r="O25" s="140"/>
    </row>
    <row r="26" spans="1:15" ht="15.75" customHeight="1">
      <c r="A26" s="9"/>
      <c r="B26" s="136"/>
      <c r="C26" s="139"/>
      <c r="D26" s="130"/>
      <c r="E26" s="142"/>
      <c r="F26" s="157"/>
      <c r="G26" s="137"/>
      <c r="H26" s="137"/>
      <c r="I26" s="137"/>
      <c r="J26" s="242"/>
      <c r="K26" s="127"/>
      <c r="L26" s="151"/>
      <c r="M26" s="144"/>
      <c r="N26" s="120"/>
      <c r="O26" s="140"/>
    </row>
    <row r="27" spans="1:15" ht="15.75" customHeight="1">
      <c r="A27" s="9"/>
      <c r="B27" s="136"/>
      <c r="C27" s="139"/>
      <c r="D27" s="130"/>
      <c r="E27" s="141"/>
      <c r="F27" s="158"/>
      <c r="G27" s="145"/>
      <c r="H27" s="145"/>
      <c r="I27" s="145"/>
      <c r="J27" s="243"/>
      <c r="K27" s="127"/>
      <c r="L27" s="151"/>
      <c r="M27" s="144"/>
      <c r="N27" s="118"/>
      <c r="O27" s="140"/>
    </row>
    <row r="28" spans="1:15" ht="15.75" customHeight="1">
      <c r="A28" s="9"/>
      <c r="B28" s="136"/>
      <c r="C28" s="139"/>
      <c r="D28" s="130"/>
      <c r="E28" s="141"/>
      <c r="F28" s="158"/>
      <c r="G28" s="145"/>
      <c r="H28" s="145"/>
      <c r="I28" s="145"/>
      <c r="J28" s="243"/>
      <c r="K28" s="127"/>
      <c r="L28" s="151"/>
      <c r="M28" s="137"/>
      <c r="N28" s="118"/>
      <c r="O28" s="140"/>
    </row>
    <row r="29" spans="1:15" ht="15.75" customHeight="1">
      <c r="A29" s="63"/>
      <c r="B29" s="83"/>
      <c r="C29" s="84"/>
      <c r="D29" s="58"/>
      <c r="E29" s="82"/>
      <c r="F29" s="159"/>
      <c r="G29" s="59"/>
      <c r="H29" s="59"/>
      <c r="I29" s="59"/>
      <c r="J29" s="244"/>
      <c r="K29" s="68"/>
      <c r="L29" s="152"/>
      <c r="M29" s="59"/>
      <c r="N29" s="118"/>
      <c r="O29" s="69"/>
    </row>
    <row r="30" spans="1:15" ht="15.75" customHeight="1">
      <c r="A30" s="63"/>
      <c r="B30" s="83"/>
      <c r="C30" s="84"/>
      <c r="D30" s="58"/>
      <c r="E30" s="82"/>
      <c r="F30" s="159"/>
      <c r="G30" s="59"/>
      <c r="H30" s="59"/>
      <c r="I30" s="59"/>
      <c r="J30" s="244"/>
      <c r="K30" s="68"/>
      <c r="L30" s="118"/>
      <c r="M30" s="59"/>
      <c r="N30" s="118"/>
      <c r="O30" s="69"/>
    </row>
    <row r="31" spans="1:15" ht="15.75" customHeight="1">
      <c r="A31" s="63"/>
      <c r="B31" s="83"/>
      <c r="C31" s="84"/>
      <c r="D31" s="58"/>
      <c r="E31" s="86"/>
      <c r="F31" s="159"/>
      <c r="G31" s="59"/>
      <c r="H31" s="59"/>
      <c r="I31" s="59"/>
      <c r="J31" s="244"/>
      <c r="K31" s="68"/>
      <c r="L31" s="118"/>
      <c r="M31" s="59"/>
      <c r="N31" s="118"/>
      <c r="O31" s="69"/>
    </row>
    <row r="32" spans="1:15" ht="15.75" customHeight="1">
      <c r="A32" s="63"/>
      <c r="B32" s="83"/>
      <c r="C32" s="84"/>
      <c r="D32" s="58"/>
      <c r="E32" s="85"/>
      <c r="F32" s="159"/>
      <c r="G32" s="59"/>
      <c r="H32" s="59"/>
      <c r="I32" s="59"/>
      <c r="J32" s="244"/>
      <c r="K32" s="68"/>
      <c r="L32" s="118"/>
      <c r="M32" s="59"/>
      <c r="N32" s="118"/>
      <c r="O32" s="69"/>
    </row>
    <row r="33" spans="1:15" ht="15.75" customHeight="1">
      <c r="A33" s="63"/>
      <c r="B33" s="83"/>
      <c r="C33" s="84"/>
      <c r="D33" s="58"/>
      <c r="E33" s="85"/>
      <c r="F33" s="87"/>
      <c r="G33" s="87"/>
      <c r="H33" s="87"/>
      <c r="I33" s="87"/>
      <c r="J33" s="245"/>
      <c r="K33" s="68"/>
      <c r="L33" s="118"/>
      <c r="M33" s="59"/>
      <c r="N33" s="160"/>
    </row>
    <row r="34" spans="1:15" ht="15.75" customHeight="1">
      <c r="A34" s="63"/>
      <c r="B34" s="83"/>
      <c r="C34" s="84"/>
      <c r="D34" s="58"/>
      <c r="E34" s="82"/>
      <c r="F34" s="59"/>
      <c r="G34" s="59"/>
      <c r="H34" s="59"/>
      <c r="I34" s="59"/>
      <c r="J34" s="244"/>
      <c r="K34" s="68"/>
      <c r="L34" s="118"/>
      <c r="M34" s="59"/>
      <c r="N34" s="118"/>
      <c r="O34" s="62"/>
    </row>
    <row r="35" spans="1:15" ht="15.75" customHeight="1">
      <c r="A35" s="63"/>
      <c r="B35" s="83"/>
      <c r="C35" s="84"/>
      <c r="D35" s="58"/>
      <c r="E35" s="82"/>
      <c r="F35" s="59"/>
      <c r="G35" s="59"/>
      <c r="H35" s="59"/>
      <c r="I35" s="59"/>
      <c r="J35" s="244"/>
      <c r="K35" s="68"/>
      <c r="L35" s="118"/>
      <c r="M35" s="59"/>
      <c r="N35" s="118"/>
      <c r="O35" s="72"/>
    </row>
    <row r="36" spans="1:15" ht="15.75" customHeight="1">
      <c r="A36" s="63"/>
      <c r="B36" s="83"/>
      <c r="C36" s="84"/>
      <c r="D36" s="58"/>
      <c r="E36" s="82"/>
      <c r="F36" s="59"/>
      <c r="G36" s="59"/>
      <c r="H36" s="59"/>
      <c r="I36" s="59"/>
      <c r="J36" s="244"/>
      <c r="K36" s="68"/>
      <c r="L36" s="118"/>
      <c r="M36" s="59"/>
      <c r="N36" s="118"/>
      <c r="O36" s="69"/>
    </row>
    <row r="37" spans="1:15" ht="15.75" customHeight="1">
      <c r="A37" s="63"/>
      <c r="B37" s="83"/>
      <c r="C37" s="84"/>
      <c r="D37" s="58"/>
      <c r="E37" s="85"/>
      <c r="F37" s="59"/>
      <c r="G37" s="59"/>
      <c r="H37" s="59"/>
      <c r="I37" s="59"/>
      <c r="J37" s="244"/>
      <c r="K37" s="68"/>
      <c r="L37" s="118"/>
      <c r="M37" s="59"/>
      <c r="N37" s="118"/>
      <c r="O37" s="69"/>
    </row>
    <row r="38" spans="1:15" ht="15.75" customHeight="1">
      <c r="A38" s="63"/>
      <c r="B38" s="83"/>
      <c r="C38" s="84"/>
      <c r="D38" s="58"/>
      <c r="E38" s="82"/>
      <c r="F38" s="59"/>
      <c r="G38" s="59"/>
      <c r="H38" s="59"/>
      <c r="I38" s="59"/>
      <c r="J38" s="244"/>
      <c r="K38" s="68"/>
      <c r="L38" s="118"/>
      <c r="M38" s="59"/>
      <c r="N38" s="118"/>
      <c r="O38" s="69"/>
    </row>
    <row r="39" spans="1:15" ht="15.75" customHeight="1">
      <c r="A39" s="63"/>
      <c r="B39" s="83"/>
      <c r="C39" s="84"/>
      <c r="D39" s="58"/>
      <c r="E39" s="82"/>
      <c r="F39" s="59"/>
      <c r="G39" s="59"/>
      <c r="H39" s="59"/>
      <c r="I39" s="59"/>
      <c r="J39" s="244"/>
      <c r="K39" s="68"/>
      <c r="L39" s="118"/>
      <c r="M39" s="59"/>
      <c r="N39" s="118"/>
      <c r="O39" s="69"/>
    </row>
    <row r="40" spans="1:15" ht="15.75" customHeight="1">
      <c r="A40" s="63"/>
      <c r="B40" s="83"/>
      <c r="C40" s="84"/>
      <c r="D40" s="58"/>
      <c r="E40" s="82"/>
      <c r="F40" s="59"/>
      <c r="G40" s="59"/>
      <c r="H40" s="59"/>
      <c r="I40" s="59"/>
      <c r="J40" s="244"/>
      <c r="K40" s="68"/>
      <c r="L40" s="118"/>
      <c r="M40" s="59"/>
      <c r="N40" s="118"/>
      <c r="O40" s="69"/>
    </row>
    <row r="41" spans="1:15" ht="15.75" customHeight="1">
      <c r="A41" s="63"/>
      <c r="B41" s="83"/>
      <c r="C41" s="84"/>
      <c r="D41" s="58"/>
      <c r="E41" s="82"/>
      <c r="F41" s="59"/>
      <c r="G41" s="59"/>
      <c r="H41" s="59"/>
      <c r="I41" s="59"/>
      <c r="J41" s="244"/>
      <c r="K41" s="68"/>
      <c r="L41" s="118"/>
      <c r="M41" s="59"/>
      <c r="N41" s="118"/>
      <c r="O41" s="69"/>
    </row>
    <row r="42" spans="1:15" ht="15.75" customHeight="1">
      <c r="A42" s="88"/>
      <c r="B42" s="89"/>
      <c r="C42" s="90"/>
      <c r="D42" s="91"/>
      <c r="E42" s="92"/>
      <c r="F42" s="93"/>
      <c r="G42" s="93"/>
      <c r="H42" s="94"/>
      <c r="I42" s="94"/>
      <c r="J42" s="246"/>
      <c r="K42" s="95"/>
      <c r="L42" s="119"/>
      <c r="M42" s="94"/>
      <c r="N42" s="119"/>
      <c r="O42" s="69"/>
    </row>
    <row r="43" spans="1:15" ht="15.75" customHeight="1">
      <c r="A43" s="96"/>
      <c r="B43" s="96"/>
      <c r="C43" s="96"/>
      <c r="D43" s="96"/>
      <c r="E43" s="96"/>
      <c r="F43" s="96"/>
      <c r="G43" s="96"/>
      <c r="H43" s="96"/>
      <c r="I43" s="96"/>
      <c r="J43" s="247"/>
      <c r="K43" s="98">
        <f>SUM(K2:K42)</f>
        <v>0</v>
      </c>
      <c r="L43" s="98"/>
      <c r="M43" s="97" t="s">
        <v>123</v>
      </c>
      <c r="N43" s="98"/>
      <c r="O43" s="99"/>
    </row>
    <row r="44" spans="1:15" ht="15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248"/>
      <c r="K44" s="98">
        <f>SUMIF(K2:K42,M44,K2:K42)</f>
        <v>0</v>
      </c>
      <c r="L44" s="98"/>
      <c r="M44" s="101" t="s">
        <v>179</v>
      </c>
      <c r="N44" s="98"/>
      <c r="O44" s="99"/>
    </row>
    <row r="45" spans="1:15" ht="15.75" customHeight="1">
      <c r="A45" s="102"/>
      <c r="B45" s="102"/>
      <c r="C45" s="102"/>
      <c r="D45" s="102"/>
      <c r="E45" s="102"/>
      <c r="F45" s="102"/>
      <c r="G45" s="102"/>
      <c r="H45" s="102"/>
      <c r="I45" s="102"/>
      <c r="J45" s="249"/>
      <c r="K45" s="98">
        <f>SUMIF(K2:K42,M45,K2:K42)</f>
        <v>0</v>
      </c>
      <c r="L45" s="98"/>
      <c r="M45" s="103" t="s">
        <v>183</v>
      </c>
      <c r="N45" s="98"/>
      <c r="O45" s="99"/>
    </row>
    <row r="46" spans="1:15" ht="15.75" hidden="1" customHeight="1">
      <c r="A46" s="104">
        <v>33</v>
      </c>
      <c r="B46" s="57"/>
      <c r="C46" s="105"/>
      <c r="D46" s="106"/>
      <c r="E46" s="107"/>
      <c r="F46" s="107"/>
      <c r="G46" s="107"/>
      <c r="H46" s="107"/>
      <c r="I46" s="107"/>
      <c r="J46" s="250"/>
      <c r="K46" s="67"/>
      <c r="L46" s="115"/>
      <c r="M46" s="107"/>
      <c r="N46" s="115"/>
      <c r="O46" s="69"/>
    </row>
    <row r="47" spans="1:15" ht="15.75" hidden="1" customHeight="1">
      <c r="A47" s="63">
        <v>34</v>
      </c>
      <c r="B47" s="64"/>
      <c r="C47" s="108"/>
      <c r="D47" s="58"/>
      <c r="E47" s="59"/>
      <c r="F47" s="59"/>
      <c r="G47" s="59"/>
      <c r="H47" s="59"/>
      <c r="I47" s="59"/>
      <c r="J47" s="244"/>
      <c r="K47" s="68"/>
      <c r="L47" s="99"/>
      <c r="M47" s="59"/>
      <c r="N47" s="99"/>
      <c r="O47" s="72"/>
    </row>
    <row r="48" spans="1:15" ht="15.75" hidden="1" customHeight="1">
      <c r="A48" s="63">
        <v>35</v>
      </c>
      <c r="B48" s="64"/>
      <c r="C48" s="108"/>
      <c r="D48" s="58"/>
      <c r="E48" s="59"/>
      <c r="F48" s="59"/>
      <c r="G48" s="59"/>
      <c r="H48" s="59"/>
      <c r="I48" s="59"/>
      <c r="J48" s="244"/>
      <c r="K48" s="68"/>
      <c r="L48" s="99"/>
      <c r="M48" s="59"/>
      <c r="N48" s="99"/>
      <c r="O48" s="72"/>
    </row>
    <row r="49" spans="1:15" ht="15.75" hidden="1" customHeight="1">
      <c r="A49" s="63">
        <v>36</v>
      </c>
      <c r="B49" s="64"/>
      <c r="C49" s="108"/>
      <c r="D49" s="58"/>
      <c r="E49" s="60"/>
      <c r="F49" s="59"/>
      <c r="G49" s="59"/>
      <c r="H49" s="59"/>
      <c r="I49" s="59"/>
      <c r="J49" s="244"/>
      <c r="K49" s="68"/>
      <c r="L49" s="99"/>
      <c r="M49" s="59"/>
      <c r="N49" s="99"/>
      <c r="O49" s="72"/>
    </row>
    <row r="50" spans="1:15" ht="15.75" hidden="1" customHeight="1">
      <c r="A50" s="63">
        <v>37</v>
      </c>
      <c r="B50" s="64"/>
      <c r="C50" s="108"/>
      <c r="D50" s="58"/>
      <c r="E50" s="59"/>
      <c r="F50" s="59"/>
      <c r="G50" s="59"/>
      <c r="H50" s="59"/>
      <c r="I50" s="59"/>
      <c r="J50" s="244"/>
      <c r="K50" s="68"/>
      <c r="L50" s="99"/>
      <c r="M50" s="59"/>
      <c r="N50" s="99"/>
      <c r="O50" s="72"/>
    </row>
    <row r="51" spans="1:15" ht="15.75" hidden="1" customHeight="1">
      <c r="A51" s="63">
        <v>38</v>
      </c>
      <c r="B51" s="64"/>
      <c r="C51" s="108"/>
      <c r="D51" s="58"/>
      <c r="E51" s="59"/>
      <c r="F51" s="59"/>
      <c r="G51" s="59"/>
      <c r="H51" s="59"/>
      <c r="I51" s="59"/>
      <c r="J51" s="244"/>
      <c r="K51" s="68"/>
      <c r="L51" s="99"/>
      <c r="M51" s="59"/>
      <c r="N51" s="99"/>
      <c r="O51" s="72"/>
    </row>
    <row r="52" spans="1:15" ht="15.75" hidden="1" customHeight="1">
      <c r="A52" s="63">
        <v>39</v>
      </c>
      <c r="B52" s="64"/>
      <c r="C52" s="108"/>
      <c r="D52" s="58"/>
      <c r="E52" s="59"/>
      <c r="F52" s="59"/>
      <c r="G52" s="59"/>
      <c r="H52" s="59"/>
      <c r="I52" s="59"/>
      <c r="J52" s="244"/>
      <c r="K52" s="68"/>
      <c r="L52" s="99"/>
      <c r="M52" s="59"/>
      <c r="N52" s="99"/>
      <c r="O52" s="72"/>
    </row>
    <row r="53" spans="1:15" ht="15.75" hidden="1" customHeight="1">
      <c r="A53" s="63">
        <v>40</v>
      </c>
      <c r="B53" s="64"/>
      <c r="C53" s="108"/>
      <c r="D53" s="58"/>
      <c r="E53" s="59"/>
      <c r="F53" s="59"/>
      <c r="G53" s="59"/>
      <c r="H53" s="59"/>
      <c r="I53" s="59"/>
      <c r="J53" s="244"/>
      <c r="K53" s="68"/>
      <c r="L53" s="99"/>
      <c r="M53" s="59"/>
      <c r="N53" s="99"/>
      <c r="O53" s="72"/>
    </row>
    <row r="54" spans="1:15" ht="15.75" hidden="1" customHeight="1">
      <c r="A54" s="63">
        <v>41</v>
      </c>
      <c r="B54" s="64"/>
      <c r="C54" s="108"/>
      <c r="D54" s="58"/>
      <c r="E54" s="60"/>
      <c r="F54" s="59"/>
      <c r="G54" s="59"/>
      <c r="H54" s="59"/>
      <c r="I54" s="59"/>
      <c r="J54" s="244"/>
      <c r="K54" s="68"/>
      <c r="L54" s="99"/>
      <c r="M54" s="59"/>
      <c r="N54" s="99"/>
      <c r="O54" s="72"/>
    </row>
    <row r="55" spans="1:15" ht="15.75" hidden="1" customHeight="1">
      <c r="A55" s="63">
        <v>42</v>
      </c>
      <c r="B55" s="64"/>
      <c r="C55" s="108"/>
      <c r="D55" s="58"/>
      <c r="E55" s="59"/>
      <c r="F55" s="59"/>
      <c r="G55" s="59"/>
      <c r="H55" s="59"/>
      <c r="I55" s="59"/>
      <c r="J55" s="244"/>
      <c r="K55" s="68"/>
      <c r="L55" s="99"/>
      <c r="M55" s="59"/>
      <c r="N55" s="99"/>
      <c r="O55" s="72"/>
    </row>
    <row r="56" spans="1:15" ht="15.75" hidden="1" customHeight="1">
      <c r="A56" s="63">
        <v>43</v>
      </c>
      <c r="B56" s="64"/>
      <c r="C56" s="109"/>
      <c r="D56" s="73"/>
      <c r="E56" s="59"/>
      <c r="F56" s="74"/>
      <c r="G56" s="74"/>
      <c r="H56" s="74"/>
      <c r="I56" s="74"/>
      <c r="J56" s="251"/>
      <c r="K56" s="75"/>
      <c r="L56" s="116"/>
      <c r="M56" s="74"/>
      <c r="N56" s="116"/>
      <c r="O56" s="76"/>
    </row>
    <row r="57" spans="1:15" ht="15.75" hidden="1" customHeight="1">
      <c r="A57" s="63">
        <v>44</v>
      </c>
      <c r="B57" s="64"/>
      <c r="C57" s="108"/>
      <c r="D57" s="58"/>
      <c r="E57" s="59"/>
      <c r="F57" s="59"/>
      <c r="G57" s="59"/>
      <c r="H57" s="59"/>
      <c r="I57" s="59"/>
      <c r="J57" s="244"/>
      <c r="K57" s="68"/>
      <c r="L57" s="99"/>
      <c r="M57" s="59"/>
      <c r="N57" s="99"/>
      <c r="O57" s="72"/>
    </row>
    <row r="58" spans="1:15" ht="15.75" hidden="1" customHeight="1">
      <c r="A58" s="63">
        <v>45</v>
      </c>
      <c r="B58" s="64"/>
      <c r="C58" s="108"/>
      <c r="D58" s="58"/>
      <c r="E58" s="59"/>
      <c r="F58" s="59"/>
      <c r="G58" s="59"/>
      <c r="H58" s="59"/>
      <c r="I58" s="59"/>
      <c r="J58" s="244"/>
      <c r="K58" s="68"/>
      <c r="L58" s="99"/>
      <c r="M58" s="59"/>
      <c r="N58" s="99"/>
      <c r="O58" s="72"/>
    </row>
    <row r="59" spans="1:15" ht="15.75" hidden="1" customHeight="1">
      <c r="A59" s="63">
        <v>46</v>
      </c>
      <c r="B59" s="64"/>
      <c r="C59" s="108"/>
      <c r="D59" s="58"/>
      <c r="E59" s="60"/>
      <c r="F59" s="59"/>
      <c r="G59" s="59"/>
      <c r="H59" s="59"/>
      <c r="I59" s="59"/>
      <c r="J59" s="244"/>
      <c r="K59" s="77"/>
      <c r="L59" s="117"/>
      <c r="M59" s="59"/>
      <c r="N59" s="117"/>
      <c r="O59" s="72"/>
    </row>
    <row r="60" spans="1:15" ht="15.75" hidden="1" customHeight="1">
      <c r="A60" s="63">
        <v>47</v>
      </c>
      <c r="B60" s="64"/>
      <c r="C60" s="108"/>
      <c r="D60" s="58"/>
      <c r="E60" s="59"/>
      <c r="F60" s="59"/>
      <c r="G60" s="59"/>
      <c r="H60" s="59"/>
      <c r="I60" s="59"/>
      <c r="J60" s="244"/>
      <c r="K60" s="68"/>
      <c r="L60" s="99"/>
      <c r="M60" s="59"/>
      <c r="N60" s="99"/>
      <c r="O60" s="72"/>
    </row>
    <row r="61" spans="1:15" ht="15.75" hidden="1" customHeight="1">
      <c r="A61" s="63">
        <v>48</v>
      </c>
      <c r="B61" s="64"/>
      <c r="C61" s="108"/>
      <c r="D61" s="58"/>
      <c r="E61" s="59"/>
      <c r="F61" s="59"/>
      <c r="G61" s="59"/>
      <c r="H61" s="59"/>
      <c r="I61" s="59"/>
      <c r="J61" s="244"/>
      <c r="K61" s="68"/>
      <c r="L61" s="99"/>
      <c r="M61" s="59"/>
      <c r="N61" s="99"/>
      <c r="O61" s="72"/>
    </row>
    <row r="62" spans="1:15" ht="15.75" hidden="1" customHeight="1">
      <c r="A62" s="63">
        <v>49</v>
      </c>
      <c r="B62" s="64"/>
      <c r="C62" s="108"/>
      <c r="D62" s="58"/>
      <c r="E62" s="59"/>
      <c r="F62" s="59"/>
      <c r="G62" s="59"/>
      <c r="H62" s="59"/>
      <c r="I62" s="59"/>
      <c r="J62" s="244"/>
      <c r="K62" s="68"/>
      <c r="L62" s="99"/>
      <c r="M62" s="59"/>
      <c r="N62" s="99"/>
      <c r="O62" s="72"/>
    </row>
    <row r="63" spans="1:15" ht="15.75" hidden="1" customHeight="1">
      <c r="A63" s="63">
        <v>50</v>
      </c>
      <c r="B63" s="64"/>
      <c r="C63" s="108"/>
      <c r="D63" s="58"/>
      <c r="E63" s="59"/>
      <c r="F63" s="59"/>
      <c r="G63" s="59"/>
      <c r="H63" s="59"/>
      <c r="I63" s="59"/>
      <c r="J63" s="244"/>
      <c r="K63" s="68"/>
      <c r="L63" s="99"/>
      <c r="M63" s="59"/>
      <c r="N63" s="99"/>
      <c r="O63" s="72"/>
    </row>
    <row r="64" spans="1:15" ht="15.75" hidden="1" customHeight="1">
      <c r="A64" s="63">
        <v>51</v>
      </c>
      <c r="B64" s="64"/>
      <c r="C64" s="108"/>
      <c r="D64" s="58"/>
      <c r="E64" s="60"/>
      <c r="F64" s="59"/>
      <c r="G64" s="59"/>
      <c r="H64" s="59"/>
      <c r="I64" s="59"/>
      <c r="J64" s="244"/>
      <c r="K64" s="68"/>
      <c r="L64" s="99"/>
      <c r="M64" s="59"/>
      <c r="N64" s="99"/>
      <c r="O64" s="72"/>
    </row>
    <row r="65" spans="1:15" ht="15.75" hidden="1" customHeight="1">
      <c r="A65" s="63">
        <v>52</v>
      </c>
      <c r="B65" s="64"/>
      <c r="C65" s="108"/>
      <c r="D65" s="58"/>
      <c r="E65" s="59"/>
      <c r="F65" s="59"/>
      <c r="G65" s="59"/>
      <c r="H65" s="59"/>
      <c r="I65" s="59"/>
      <c r="J65" s="244"/>
      <c r="K65" s="68"/>
      <c r="L65" s="99"/>
      <c r="M65" s="59"/>
      <c r="N65" s="99"/>
      <c r="O65" s="72"/>
    </row>
    <row r="66" spans="1:15" ht="15.75" hidden="1" customHeight="1">
      <c r="A66" s="63">
        <v>53</v>
      </c>
      <c r="B66" s="64"/>
      <c r="C66" s="108"/>
      <c r="D66" s="58"/>
      <c r="E66" s="59"/>
      <c r="F66" s="59"/>
      <c r="G66" s="59"/>
      <c r="H66" s="59"/>
      <c r="I66" s="59"/>
      <c r="J66" s="244"/>
      <c r="K66" s="68"/>
      <c r="L66" s="99"/>
      <c r="M66" s="59"/>
      <c r="N66" s="99"/>
      <c r="O66" s="72"/>
    </row>
    <row r="67" spans="1:15" ht="15.75" hidden="1" customHeight="1">
      <c r="A67" s="63">
        <v>54</v>
      </c>
      <c r="B67" s="64"/>
      <c r="C67" s="108"/>
      <c r="D67" s="58"/>
      <c r="E67" s="59"/>
      <c r="F67" s="59"/>
      <c r="G67" s="59"/>
      <c r="H67" s="59"/>
      <c r="I67" s="59"/>
      <c r="J67" s="244"/>
      <c r="K67" s="68"/>
      <c r="L67" s="99"/>
      <c r="M67" s="59"/>
      <c r="N67" s="99"/>
      <c r="O67" s="72"/>
    </row>
    <row r="68" spans="1:15" ht="15.75" hidden="1" customHeight="1">
      <c r="A68" s="63">
        <v>55</v>
      </c>
      <c r="B68" s="64"/>
      <c r="C68" s="110"/>
      <c r="D68" s="78"/>
      <c r="E68" s="59"/>
      <c r="F68" s="79"/>
      <c r="G68" s="79"/>
      <c r="H68" s="79"/>
      <c r="I68" s="79"/>
      <c r="J68" s="252"/>
      <c r="K68" s="68"/>
      <c r="L68" s="99"/>
      <c r="M68" s="79"/>
      <c r="N68" s="99"/>
      <c r="O68" s="80"/>
    </row>
    <row r="69" spans="1:15" ht="15.75" hidden="1" customHeight="1">
      <c r="A69" s="63">
        <v>56</v>
      </c>
      <c r="B69" s="64"/>
      <c r="C69" s="110"/>
      <c r="D69" s="78"/>
      <c r="E69" s="79"/>
      <c r="F69" s="79"/>
      <c r="G69" s="79"/>
      <c r="H69" s="79"/>
      <c r="I69" s="79"/>
      <c r="J69" s="252"/>
      <c r="K69" s="68"/>
      <c r="L69" s="99"/>
      <c r="M69" s="79"/>
      <c r="N69" s="99"/>
      <c r="O69" s="80"/>
    </row>
    <row r="70" spans="1:15" ht="15.75" hidden="1" customHeight="1">
      <c r="A70" s="63">
        <v>57</v>
      </c>
      <c r="B70" s="64"/>
      <c r="C70" s="110"/>
      <c r="D70" s="78"/>
      <c r="E70" s="79"/>
      <c r="F70" s="79"/>
      <c r="G70" s="79"/>
      <c r="H70" s="79"/>
      <c r="I70" s="79"/>
      <c r="J70" s="252"/>
      <c r="K70" s="68"/>
      <c r="L70" s="99"/>
      <c r="M70" s="79"/>
      <c r="N70" s="99"/>
      <c r="O70" s="80"/>
    </row>
    <row r="71" spans="1:15" ht="15.75" hidden="1" customHeight="1">
      <c r="A71" s="63">
        <v>58</v>
      </c>
      <c r="B71" s="64"/>
      <c r="C71" s="110"/>
      <c r="D71" s="78"/>
      <c r="E71" s="79"/>
      <c r="F71" s="79"/>
      <c r="G71" s="79"/>
      <c r="H71" s="79"/>
      <c r="I71" s="79"/>
      <c r="J71" s="252"/>
      <c r="K71" s="68"/>
      <c r="L71" s="99"/>
      <c r="M71" s="79"/>
      <c r="N71" s="99"/>
      <c r="O71" s="80"/>
    </row>
    <row r="72" spans="1:15" ht="15.75" hidden="1" customHeight="1">
      <c r="A72" s="63">
        <v>59</v>
      </c>
      <c r="B72" s="64"/>
      <c r="C72" s="110"/>
      <c r="D72" s="78"/>
      <c r="E72" s="79"/>
      <c r="F72" s="79"/>
      <c r="G72" s="79"/>
      <c r="H72" s="79"/>
      <c r="I72" s="79"/>
      <c r="J72" s="252"/>
      <c r="K72" s="68"/>
      <c r="L72" s="99"/>
      <c r="M72" s="79"/>
      <c r="N72" s="99"/>
      <c r="O72" s="80"/>
    </row>
    <row r="73" spans="1:15" ht="15" customHeight="1">
      <c r="J73" s="253"/>
    </row>
    <row r="74" spans="1:15" ht="15" customHeight="1">
      <c r="J74" s="253"/>
    </row>
    <row r="75" spans="1:15" ht="15" customHeight="1">
      <c r="J75" s="253"/>
    </row>
    <row r="76" spans="1:15" ht="15" customHeight="1">
      <c r="J76" s="253"/>
    </row>
    <row r="77" spans="1:15" ht="15" customHeight="1">
      <c r="J77" s="253"/>
    </row>
    <row r="78" spans="1:15" ht="15" customHeight="1">
      <c r="J78" s="253"/>
    </row>
    <row r="79" spans="1:15" ht="15" customHeight="1">
      <c r="J79" s="253"/>
    </row>
    <row r="80" spans="1:15" ht="15" customHeight="1">
      <c r="J80" s="253"/>
    </row>
    <row r="81" spans="10:10" ht="15" customHeight="1">
      <c r="J81" s="253"/>
    </row>
    <row r="82" spans="10:10" ht="15" customHeight="1">
      <c r="J82" s="253"/>
    </row>
    <row r="83" spans="10:10" ht="15" customHeight="1">
      <c r="J83" s="253"/>
    </row>
    <row r="84" spans="10:10" ht="15" customHeight="1">
      <c r="J84" s="253"/>
    </row>
    <row r="85" spans="10:10" ht="15" customHeight="1">
      <c r="J85" s="253"/>
    </row>
    <row r="86" spans="10:10" ht="15" customHeight="1">
      <c r="J86" s="253"/>
    </row>
    <row r="87" spans="10:10" ht="15" customHeight="1">
      <c r="J87" s="253"/>
    </row>
    <row r="88" spans="10:10" ht="15" customHeight="1">
      <c r="J88" s="253"/>
    </row>
    <row r="89" spans="10:10" ht="15" customHeight="1">
      <c r="J89" s="253"/>
    </row>
    <row r="90" spans="10:10" ht="15" customHeight="1">
      <c r="J90" s="253"/>
    </row>
    <row r="91" spans="10:10" ht="15" customHeight="1">
      <c r="J91" s="253"/>
    </row>
    <row r="92" spans="10:10" ht="15" customHeight="1">
      <c r="J92" s="253"/>
    </row>
    <row r="93" spans="10:10" ht="15" customHeight="1">
      <c r="J93" s="253"/>
    </row>
    <row r="94" spans="10:10" ht="15" customHeight="1">
      <c r="J94" s="253"/>
    </row>
    <row r="95" spans="10:10" ht="15" customHeight="1">
      <c r="J95" s="253"/>
    </row>
    <row r="96" spans="10:10" ht="15" customHeight="1">
      <c r="J96" s="253"/>
    </row>
    <row r="97" spans="10:10" ht="15" customHeight="1">
      <c r="J97" s="253"/>
    </row>
    <row r="98" spans="10:10" ht="15" customHeight="1">
      <c r="J98" s="253"/>
    </row>
    <row r="99" spans="10:10" ht="15" customHeight="1">
      <c r="J99" s="253"/>
    </row>
    <row r="100" spans="10:10" ht="15" customHeight="1">
      <c r="J100" s="253"/>
    </row>
    <row r="101" spans="10:10" ht="15" customHeight="1">
      <c r="J101" s="253"/>
    </row>
    <row r="102" spans="10:10" ht="15" customHeight="1">
      <c r="J102" s="253"/>
    </row>
    <row r="103" spans="10:10" ht="15" customHeight="1">
      <c r="J103" s="253"/>
    </row>
    <row r="104" spans="10:10" ht="15" customHeight="1">
      <c r="J104" s="253"/>
    </row>
    <row r="105" spans="10:10" ht="15" customHeight="1">
      <c r="J105" s="253"/>
    </row>
    <row r="106" spans="10:10" ht="15" customHeight="1">
      <c r="J106" s="253"/>
    </row>
    <row r="107" spans="10:10" ht="15" customHeight="1">
      <c r="J107" s="253"/>
    </row>
    <row r="108" spans="10:10" ht="15" customHeight="1">
      <c r="J108" s="253"/>
    </row>
    <row r="109" spans="10:10" ht="15" customHeight="1">
      <c r="J109" s="253"/>
    </row>
    <row r="110" spans="10:10" ht="15" customHeight="1">
      <c r="J110" s="253"/>
    </row>
    <row r="111" spans="10:10" ht="15" customHeight="1">
      <c r="J111" s="253"/>
    </row>
    <row r="112" spans="10:10" ht="15" customHeight="1">
      <c r="J112" s="253"/>
    </row>
    <row r="113" spans="10:10" ht="15" customHeight="1">
      <c r="J113" s="253"/>
    </row>
    <row r="114" spans="10:10" ht="15" customHeight="1">
      <c r="J114" s="253"/>
    </row>
    <row r="115" spans="10:10" ht="15" customHeight="1">
      <c r="J115" s="253"/>
    </row>
    <row r="116" spans="10:10" ht="15" customHeight="1">
      <c r="J116" s="253"/>
    </row>
    <row r="117" spans="10:10" ht="15" customHeight="1">
      <c r="J117" s="253"/>
    </row>
    <row r="118" spans="10:10" ht="15" customHeight="1">
      <c r="J118" s="253"/>
    </row>
    <row r="119" spans="10:10" ht="15" customHeight="1">
      <c r="J119" s="253"/>
    </row>
    <row r="120" spans="10:10" ht="15" customHeight="1">
      <c r="J120" s="253"/>
    </row>
    <row r="121" spans="10:10" ht="15" customHeight="1">
      <c r="J121" s="253"/>
    </row>
    <row r="122" spans="10:10" ht="15" customHeight="1">
      <c r="J122" s="253"/>
    </row>
    <row r="123" spans="10:10" ht="15" customHeight="1">
      <c r="J123" s="253"/>
    </row>
    <row r="124" spans="10:10" ht="15" customHeight="1">
      <c r="J124" s="253"/>
    </row>
    <row r="125" spans="10:10" ht="15" customHeight="1">
      <c r="J125" s="253"/>
    </row>
    <row r="126" spans="10:10" ht="15" customHeight="1">
      <c r="J126" s="253"/>
    </row>
    <row r="127" spans="10:10" ht="15" customHeight="1">
      <c r="J127" s="253"/>
    </row>
    <row r="128" spans="10:10" ht="15" customHeight="1">
      <c r="J128" s="253"/>
    </row>
    <row r="129" spans="10:10" ht="15" customHeight="1">
      <c r="J129" s="253"/>
    </row>
    <row r="130" spans="10:10" ht="15" customHeight="1">
      <c r="J130" s="253"/>
    </row>
    <row r="131" spans="10:10" ht="15" customHeight="1">
      <c r="J131" s="253"/>
    </row>
    <row r="132" spans="10:10" ht="15" customHeight="1">
      <c r="J132" s="253"/>
    </row>
    <row r="133" spans="10:10" ht="15" customHeight="1">
      <c r="J133" s="253"/>
    </row>
    <row r="134" spans="10:10" ht="15" customHeight="1">
      <c r="J134" s="253"/>
    </row>
    <row r="135" spans="10:10" ht="15" customHeight="1">
      <c r="J135" s="253"/>
    </row>
    <row r="136" spans="10:10" ht="15" customHeight="1">
      <c r="J136" s="253"/>
    </row>
    <row r="137" spans="10:10" ht="15" customHeight="1">
      <c r="J137" s="253"/>
    </row>
    <row r="138" spans="10:10" ht="15" customHeight="1">
      <c r="J138" s="253"/>
    </row>
    <row r="139" spans="10:10" ht="15" customHeight="1">
      <c r="J139" s="253"/>
    </row>
    <row r="140" spans="10:10" ht="15" customHeight="1">
      <c r="J140" s="253"/>
    </row>
    <row r="141" spans="10:10" ht="15" customHeight="1">
      <c r="J141" s="253"/>
    </row>
    <row r="142" spans="10:10" ht="15" customHeight="1">
      <c r="J142" s="253"/>
    </row>
    <row r="143" spans="10:10" ht="15" customHeight="1">
      <c r="J143" s="253"/>
    </row>
    <row r="144" spans="10:10" ht="15" customHeight="1">
      <c r="J144" s="253"/>
    </row>
    <row r="145" spans="10:10" ht="15" customHeight="1">
      <c r="J145" s="253"/>
    </row>
    <row r="146" spans="10:10" ht="15" customHeight="1">
      <c r="J146" s="253"/>
    </row>
    <row r="147" spans="10:10" ht="15" customHeight="1">
      <c r="J147" s="253"/>
    </row>
    <row r="148" spans="10:10" ht="15" customHeight="1">
      <c r="J148" s="253"/>
    </row>
    <row r="149" spans="10:10" ht="15" customHeight="1">
      <c r="J149" s="253"/>
    </row>
    <row r="150" spans="10:10" ht="15" customHeight="1">
      <c r="J150" s="253"/>
    </row>
    <row r="151" spans="10:10" ht="15" customHeight="1">
      <c r="J151" s="253"/>
    </row>
    <row r="152" spans="10:10" ht="15" customHeight="1">
      <c r="J152" s="253"/>
    </row>
    <row r="153" spans="10:10" ht="15" customHeight="1">
      <c r="J153" s="253"/>
    </row>
    <row r="154" spans="10:10" ht="15" customHeight="1">
      <c r="J154" s="253"/>
    </row>
    <row r="155" spans="10:10" ht="15" customHeight="1">
      <c r="J155" s="253"/>
    </row>
    <row r="156" spans="10:10" ht="15" customHeight="1">
      <c r="J156" s="253"/>
    </row>
    <row r="157" spans="10:10" ht="15" customHeight="1">
      <c r="J157" s="253"/>
    </row>
    <row r="158" spans="10:10" ht="15" customHeight="1">
      <c r="J158" s="253"/>
    </row>
    <row r="159" spans="10:10" ht="15" customHeight="1">
      <c r="J159" s="253"/>
    </row>
    <row r="160" spans="10:10" ht="15" customHeight="1">
      <c r="J160" s="253"/>
    </row>
    <row r="161" spans="10:10" ht="15" customHeight="1">
      <c r="J161" s="253"/>
    </row>
    <row r="162" spans="10:10" ht="15" customHeight="1">
      <c r="J162" s="253"/>
    </row>
    <row r="163" spans="10:10" ht="15" customHeight="1">
      <c r="J163" s="253"/>
    </row>
    <row r="164" spans="10:10" ht="15" customHeight="1">
      <c r="J164" s="253"/>
    </row>
    <row r="165" spans="10:10" ht="15" customHeight="1">
      <c r="J165" s="253"/>
    </row>
    <row r="166" spans="10:10" ht="15" customHeight="1">
      <c r="J166" s="253"/>
    </row>
    <row r="167" spans="10:10" ht="15" customHeight="1">
      <c r="J167" s="253"/>
    </row>
    <row r="168" spans="10:10" ht="15" customHeight="1">
      <c r="J168" s="253"/>
    </row>
    <row r="169" spans="10:10" ht="15" customHeight="1">
      <c r="J169" s="253"/>
    </row>
    <row r="170" spans="10:10" ht="15" customHeight="1">
      <c r="J170" s="253"/>
    </row>
    <row r="171" spans="10:10" ht="15" customHeight="1">
      <c r="J171" s="253"/>
    </row>
    <row r="172" spans="10:10" ht="15" customHeight="1">
      <c r="J172" s="253"/>
    </row>
    <row r="173" spans="10:10" ht="15" customHeight="1">
      <c r="J173" s="253"/>
    </row>
    <row r="174" spans="10:10" ht="15" customHeight="1">
      <c r="J174" s="253"/>
    </row>
    <row r="175" spans="10:10" ht="15" customHeight="1">
      <c r="J175" s="253"/>
    </row>
    <row r="176" spans="10:10" ht="15" customHeight="1">
      <c r="J176" s="253"/>
    </row>
    <row r="177" spans="10:10" ht="15" customHeight="1">
      <c r="J177" s="253"/>
    </row>
    <row r="178" spans="10:10" ht="15" customHeight="1">
      <c r="J178" s="253"/>
    </row>
    <row r="179" spans="10:10" ht="15" customHeight="1">
      <c r="J179" s="253"/>
    </row>
    <row r="180" spans="10:10" ht="15" customHeight="1">
      <c r="J180" s="253"/>
    </row>
    <row r="181" spans="10:10" ht="15" customHeight="1">
      <c r="J181" s="253"/>
    </row>
    <row r="182" spans="10:10" ht="15" customHeight="1">
      <c r="J182" s="253"/>
    </row>
    <row r="183" spans="10:10" ht="15" customHeight="1">
      <c r="J183" s="253"/>
    </row>
    <row r="184" spans="10:10" ht="15" customHeight="1">
      <c r="J184" s="253"/>
    </row>
    <row r="185" spans="10:10" ht="15" customHeight="1">
      <c r="J185" s="253"/>
    </row>
    <row r="265" spans="3:3" ht="15" customHeight="1">
      <c r="C265" t="s">
        <v>423</v>
      </c>
    </row>
  </sheetData>
  <conditionalFormatting sqref="M2:M42">
    <cfRule type="cellIs" dxfId="27" priority="1" operator="equal">
      <formula>"In Process"</formula>
    </cfRule>
    <cfRule type="cellIs" dxfId="26" priority="2" operator="equal">
      <formula>"Not Received"</formula>
    </cfRule>
    <cfRule type="cellIs" dxfId="25" priority="3" operator="equal">
      <formula>"Paid By Client"</formula>
    </cfRule>
    <cfRule type="cellIs" dxfId="24" priority="4" operator="equal">
      <formula>"Payment Received"</formula>
    </cfRule>
  </conditionalFormatting>
  <dataValidations count="1">
    <dataValidation type="list" allowBlank="1" showInputMessage="1" showErrorMessage="1" sqref="D2:D39" xr:uid="{00000000-0002-0000-0D00-000000000000}">
      <formula1>client</formula1>
    </dataValidation>
  </dataValidations>
  <pageMargins left="0.7" right="0.7" top="0.75" bottom="0.75" header="0" footer="0"/>
  <pageSetup scale="84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2:O204"/>
  <sheetViews>
    <sheetView workbookViewId="0">
      <pane ySplit="13" topLeftCell="A18" activePane="bottomLeft" state="frozen"/>
      <selection pane="bottomLeft" activeCell="B18" sqref="B18"/>
    </sheetView>
  </sheetViews>
  <sheetFormatPr defaultColWidth="14.42578125" defaultRowHeight="15" customHeight="1"/>
  <cols>
    <col min="1" max="1" width="9.140625" customWidth="1"/>
    <col min="2" max="2" width="21" customWidth="1"/>
    <col min="3" max="3" width="29.7109375" customWidth="1"/>
    <col min="4" max="4" width="35.7109375" customWidth="1"/>
    <col min="5" max="5" width="18.85546875" customWidth="1"/>
    <col min="6" max="7" width="16.140625" customWidth="1"/>
    <col min="8" max="8" width="14.5703125" customWidth="1"/>
    <col min="9" max="9" width="15.7109375" customWidth="1"/>
    <col min="10" max="10" width="16" customWidth="1"/>
    <col min="11" max="11" width="24.5703125" bestFit="1" customWidth="1"/>
    <col min="12" max="12" width="19.28515625" customWidth="1"/>
    <col min="13" max="13" width="19.5703125" customWidth="1"/>
    <col min="15" max="15" width="17.7109375" customWidth="1"/>
    <col min="16" max="16" width="16" bestFit="1" customWidth="1"/>
    <col min="17" max="17" width="26.28515625" bestFit="1" customWidth="1"/>
    <col min="18" max="18" width="4.28515625" customWidth="1"/>
    <col min="19" max="19" width="26.140625" bestFit="1" customWidth="1"/>
  </cols>
  <sheetData>
    <row r="2" spans="1:10" ht="23.25" customHeight="1">
      <c r="B2" s="282" t="s">
        <v>442</v>
      </c>
      <c r="C2" s="279">
        <v>1884.46</v>
      </c>
    </row>
    <row r="3" spans="1:10" ht="15" customHeight="1">
      <c r="B3" s="256"/>
    </row>
    <row r="4" spans="1:10" ht="27.75" customHeight="1">
      <c r="A4" s="111"/>
      <c r="B4" s="283" t="s">
        <v>443</v>
      </c>
      <c r="C4" s="279">
        <f>SUM($E$14:$E$103)+C2</f>
        <v>1966.24</v>
      </c>
    </row>
    <row r="5" spans="1:10">
      <c r="A5" s="111"/>
      <c r="B5" s="160"/>
    </row>
    <row r="6" spans="1:10" ht="24" customHeight="1">
      <c r="A6" s="111"/>
      <c r="B6" s="453" t="s">
        <v>444</v>
      </c>
      <c r="C6" s="454"/>
    </row>
    <row r="7" spans="1:10" ht="24" customHeight="1">
      <c r="A7" s="111"/>
      <c r="B7" s="280" t="s">
        <v>445</v>
      </c>
      <c r="C7" s="281">
        <f>SUM($H$14:$H$103)</f>
        <v>1465.6</v>
      </c>
    </row>
    <row r="8" spans="1:10" ht="24" customHeight="1">
      <c r="A8" s="111"/>
      <c r="B8" s="277" t="s">
        <v>446</v>
      </c>
      <c r="C8" s="276">
        <f>SUM($I$14:$I$103)</f>
        <v>0</v>
      </c>
    </row>
    <row r="9" spans="1:10" ht="24" customHeight="1">
      <c r="A9" s="111"/>
      <c r="B9" s="277" t="s">
        <v>447</v>
      </c>
      <c r="C9" s="276">
        <f>SUM($J$14:$J$103)</f>
        <v>0</v>
      </c>
    </row>
    <row r="10" spans="1:10" ht="24" customHeight="1">
      <c r="A10" s="111"/>
      <c r="B10" s="278" t="s">
        <v>448</v>
      </c>
      <c r="C10" s="285">
        <f>SUM(C7:C9)</f>
        <v>1465.6</v>
      </c>
    </row>
    <row r="11" spans="1:10" ht="24" customHeight="1">
      <c r="A11" s="111"/>
      <c r="B11" s="284" t="s">
        <v>449</v>
      </c>
      <c r="C11" s="301">
        <f>C4-C10</f>
        <v>500.6400000000001</v>
      </c>
    </row>
    <row r="12" spans="1:10">
      <c r="A12" s="111"/>
    </row>
    <row r="13" spans="1:10" ht="36.75" customHeight="1">
      <c r="A13" s="302" t="s">
        <v>15</v>
      </c>
      <c r="B13" s="303" t="s">
        <v>118</v>
      </c>
      <c r="C13" s="303" t="s">
        <v>221</v>
      </c>
      <c r="D13" s="304" t="s">
        <v>450</v>
      </c>
      <c r="E13" s="303" t="s">
        <v>410</v>
      </c>
      <c r="F13" s="303" t="s">
        <v>451</v>
      </c>
      <c r="G13" s="303" t="s">
        <v>452</v>
      </c>
      <c r="H13" s="303" t="s">
        <v>453</v>
      </c>
      <c r="I13" s="303" t="s">
        <v>446</v>
      </c>
      <c r="J13" s="305" t="s">
        <v>454</v>
      </c>
    </row>
    <row r="14" spans="1:10" ht="15" customHeight="1">
      <c r="A14" s="292">
        <f>IF(D14="","",ROW()-13)</f>
        <v>1</v>
      </c>
      <c r="B14" s="293">
        <v>45053</v>
      </c>
      <c r="C14" s="294"/>
      <c r="D14" s="294" t="s">
        <v>455</v>
      </c>
      <c r="E14" s="295"/>
      <c r="F14" s="306" t="s">
        <v>230</v>
      </c>
      <c r="G14" s="307" t="s">
        <v>456</v>
      </c>
      <c r="H14" s="295">
        <v>996</v>
      </c>
      <c r="I14" s="295"/>
      <c r="J14" s="297"/>
    </row>
    <row r="15" spans="1:10" ht="15" customHeight="1">
      <c r="A15" s="273">
        <f>IF(D15="","",ROW()-13)</f>
        <v>2</v>
      </c>
      <c r="B15" s="290">
        <v>45128</v>
      </c>
      <c r="C15" s="286" t="s">
        <v>457</v>
      </c>
      <c r="D15" s="309" t="s">
        <v>458</v>
      </c>
      <c r="E15" s="308">
        <v>81.78</v>
      </c>
      <c r="F15" s="286"/>
      <c r="G15" s="286"/>
      <c r="H15" s="272"/>
      <c r="I15" s="272"/>
      <c r="J15" s="298"/>
    </row>
    <row r="16" spans="1:10" ht="15" customHeight="1">
      <c r="A16" s="273">
        <f t="shared" ref="A16:A79" si="0">IF(D16="","",ROW()-13)</f>
        <v>3</v>
      </c>
      <c r="B16" s="290">
        <v>45139</v>
      </c>
      <c r="C16" s="286" t="s">
        <v>459</v>
      </c>
      <c r="D16" s="286" t="s">
        <v>460</v>
      </c>
      <c r="E16" s="272"/>
      <c r="F16" s="286"/>
      <c r="G16" s="311" t="s">
        <v>456</v>
      </c>
      <c r="H16" s="310">
        <v>417.6</v>
      </c>
      <c r="I16" s="272"/>
      <c r="J16" s="298"/>
    </row>
    <row r="17" spans="1:15" ht="15" customHeight="1">
      <c r="A17" s="273">
        <f t="shared" si="0"/>
        <v>4</v>
      </c>
      <c r="B17" s="290">
        <v>45155</v>
      </c>
      <c r="C17" s="286"/>
      <c r="D17" s="286" t="s">
        <v>461</v>
      </c>
      <c r="E17" s="272"/>
      <c r="F17" s="286"/>
      <c r="G17" s="312" t="s">
        <v>456</v>
      </c>
      <c r="H17" s="272">
        <v>52</v>
      </c>
      <c r="I17" s="272"/>
      <c r="J17" s="298"/>
    </row>
    <row r="18" spans="1:15" ht="15" customHeight="1">
      <c r="A18" s="273" t="str">
        <f t="shared" si="0"/>
        <v/>
      </c>
      <c r="B18" s="289"/>
      <c r="C18" s="287"/>
      <c r="D18" s="286"/>
      <c r="E18" s="272"/>
      <c r="F18" s="286"/>
      <c r="G18" s="286"/>
      <c r="H18" s="299"/>
      <c r="I18" s="299"/>
      <c r="J18" s="276"/>
      <c r="K18" s="227"/>
      <c r="L18" s="227"/>
      <c r="M18" s="228"/>
      <c r="N18" s="230"/>
      <c r="O18" s="227"/>
    </row>
    <row r="19" spans="1:15" ht="15" customHeight="1">
      <c r="A19" s="273" t="str">
        <f t="shared" si="0"/>
        <v/>
      </c>
      <c r="B19" s="289"/>
      <c r="C19" s="287"/>
      <c r="D19" s="286"/>
      <c r="E19" s="272"/>
      <c r="F19" s="286"/>
      <c r="G19" s="286"/>
      <c r="H19" s="299"/>
      <c r="I19" s="299"/>
      <c r="J19" s="276"/>
      <c r="K19" s="227"/>
      <c r="L19" s="227"/>
      <c r="M19" s="228"/>
      <c r="N19" s="230"/>
      <c r="O19" s="227"/>
    </row>
    <row r="20" spans="1:15" ht="15" customHeight="1">
      <c r="A20" s="273" t="str">
        <f t="shared" si="0"/>
        <v/>
      </c>
      <c r="B20" s="289"/>
      <c r="C20" s="287"/>
      <c r="D20" s="286"/>
      <c r="E20" s="272"/>
      <c r="F20" s="286"/>
      <c r="G20" s="286"/>
      <c r="H20" s="299"/>
      <c r="I20" s="299"/>
      <c r="J20" s="276"/>
      <c r="K20" s="227"/>
      <c r="L20" s="227"/>
      <c r="M20" s="228"/>
      <c r="N20" s="230"/>
      <c r="O20" s="227"/>
    </row>
    <row r="21" spans="1:15" ht="15" customHeight="1">
      <c r="A21" s="273" t="str">
        <f t="shared" si="0"/>
        <v/>
      </c>
      <c r="B21" s="289"/>
      <c r="C21" s="287"/>
      <c r="D21" s="286"/>
      <c r="E21" s="272"/>
      <c r="F21" s="286"/>
      <c r="G21" s="286"/>
      <c r="H21" s="299"/>
      <c r="I21" s="299"/>
      <c r="J21" s="276"/>
      <c r="K21" s="227"/>
      <c r="L21" s="227"/>
      <c r="M21" s="228"/>
      <c r="N21" s="230"/>
      <c r="O21" s="227"/>
    </row>
    <row r="22" spans="1:15" ht="15" customHeight="1">
      <c r="A22" s="273" t="str">
        <f t="shared" si="0"/>
        <v/>
      </c>
      <c r="B22" s="289"/>
      <c r="C22" s="287"/>
      <c r="D22" s="286"/>
      <c r="E22" s="272"/>
      <c r="F22" s="286"/>
      <c r="G22" s="286"/>
      <c r="H22" s="299"/>
      <c r="I22" s="299"/>
      <c r="J22" s="276"/>
      <c r="K22" s="227"/>
      <c r="L22" s="227"/>
      <c r="M22" s="228"/>
      <c r="N22" s="230"/>
      <c r="O22" s="227"/>
    </row>
    <row r="23" spans="1:15" ht="15" customHeight="1">
      <c r="A23" s="273" t="str">
        <f t="shared" si="0"/>
        <v/>
      </c>
      <c r="B23" s="289"/>
      <c r="C23" s="287"/>
      <c r="D23" s="286"/>
      <c r="E23" s="272"/>
      <c r="F23" s="286"/>
      <c r="G23" s="286"/>
      <c r="H23" s="299"/>
      <c r="I23" s="299"/>
      <c r="J23" s="276"/>
      <c r="K23" s="227"/>
      <c r="L23" s="227"/>
      <c r="M23" s="228"/>
      <c r="N23" s="230"/>
      <c r="O23" s="227"/>
    </row>
    <row r="24" spans="1:15" ht="15" customHeight="1">
      <c r="A24" s="273" t="str">
        <f t="shared" si="0"/>
        <v/>
      </c>
      <c r="B24" s="289"/>
      <c r="C24" s="287"/>
      <c r="D24" s="286"/>
      <c r="E24" s="272"/>
      <c r="F24" s="286"/>
      <c r="G24" s="286"/>
      <c r="H24" s="299"/>
      <c r="I24" s="299"/>
      <c r="J24" s="276"/>
      <c r="K24" s="227"/>
      <c r="L24" s="227"/>
      <c r="M24" s="228"/>
      <c r="N24" s="230"/>
      <c r="O24" s="227"/>
    </row>
    <row r="25" spans="1:15" ht="15" customHeight="1">
      <c r="A25" s="273" t="str">
        <f t="shared" si="0"/>
        <v/>
      </c>
      <c r="B25" s="289"/>
      <c r="C25" s="287"/>
      <c r="D25" s="286"/>
      <c r="E25" s="272"/>
      <c r="F25" s="286"/>
      <c r="G25" s="286"/>
      <c r="H25" s="299"/>
      <c r="I25" s="299"/>
      <c r="J25" s="276"/>
      <c r="K25" s="227"/>
      <c r="L25" s="227"/>
      <c r="M25" s="228"/>
      <c r="N25" s="230"/>
      <c r="O25" s="227"/>
    </row>
    <row r="26" spans="1:15" ht="15" customHeight="1">
      <c r="A26" s="273" t="str">
        <f t="shared" si="0"/>
        <v/>
      </c>
      <c r="B26" s="289"/>
      <c r="C26" s="287"/>
      <c r="D26" s="286"/>
      <c r="E26" s="272"/>
      <c r="F26" s="286"/>
      <c r="G26" s="286"/>
      <c r="H26" s="299"/>
      <c r="I26" s="299"/>
      <c r="J26" s="276"/>
      <c r="K26" s="227"/>
      <c r="L26" s="227"/>
      <c r="M26" s="228"/>
      <c r="N26" s="230"/>
      <c r="O26" s="227"/>
    </row>
    <row r="27" spans="1:15" ht="15" customHeight="1">
      <c r="A27" s="273" t="str">
        <f t="shared" si="0"/>
        <v/>
      </c>
      <c r="B27" s="289"/>
      <c r="C27" s="287"/>
      <c r="D27" s="286"/>
      <c r="E27" s="272"/>
      <c r="F27" s="286"/>
      <c r="G27" s="286"/>
      <c r="H27" s="299"/>
      <c r="I27" s="299"/>
      <c r="J27" s="276"/>
      <c r="K27" s="227"/>
      <c r="L27" s="227"/>
      <c r="M27" s="228"/>
      <c r="N27" s="230"/>
      <c r="O27" s="227"/>
    </row>
    <row r="28" spans="1:15" ht="15" customHeight="1">
      <c r="A28" s="273" t="str">
        <f t="shared" si="0"/>
        <v/>
      </c>
      <c r="B28" s="289"/>
      <c r="C28" s="287"/>
      <c r="D28" s="286"/>
      <c r="E28" s="272"/>
      <c r="F28" s="286"/>
      <c r="G28" s="286"/>
      <c r="H28" s="299"/>
      <c r="I28" s="299"/>
      <c r="J28" s="276"/>
      <c r="K28" s="227"/>
      <c r="L28" s="227"/>
      <c r="M28" s="228"/>
      <c r="N28" s="230"/>
      <c r="O28" s="227"/>
    </row>
    <row r="29" spans="1:15" ht="15" customHeight="1">
      <c r="A29" s="273" t="str">
        <f t="shared" si="0"/>
        <v/>
      </c>
      <c r="B29" s="289"/>
      <c r="C29" s="287"/>
      <c r="D29" s="286"/>
      <c r="E29" s="272"/>
      <c r="F29" s="286"/>
      <c r="G29" s="286"/>
      <c r="H29" s="299"/>
      <c r="I29" s="299"/>
      <c r="J29" s="276"/>
      <c r="K29" s="227"/>
      <c r="L29" s="227"/>
      <c r="M29" s="228"/>
      <c r="N29" s="230"/>
      <c r="O29" s="227"/>
    </row>
    <row r="30" spans="1:15" ht="15" customHeight="1">
      <c r="A30" s="273" t="str">
        <f t="shared" si="0"/>
        <v/>
      </c>
      <c r="B30" s="289"/>
      <c r="C30" s="287"/>
      <c r="D30" s="286"/>
      <c r="E30" s="272"/>
      <c r="F30" s="286"/>
      <c r="G30" s="286"/>
      <c r="H30" s="299"/>
      <c r="I30" s="299"/>
      <c r="J30" s="276"/>
      <c r="K30" s="227"/>
      <c r="L30" s="227"/>
      <c r="M30" s="228"/>
      <c r="N30" s="230"/>
      <c r="O30" s="227"/>
    </row>
    <row r="31" spans="1:15" ht="15" customHeight="1">
      <c r="A31" s="273" t="str">
        <f t="shared" si="0"/>
        <v/>
      </c>
      <c r="B31" s="289"/>
      <c r="C31" s="287"/>
      <c r="D31" s="286"/>
      <c r="E31" s="272"/>
      <c r="F31" s="286"/>
      <c r="G31" s="286"/>
      <c r="H31" s="299"/>
      <c r="I31" s="299"/>
      <c r="J31" s="276"/>
      <c r="K31" s="227"/>
      <c r="L31" s="227"/>
      <c r="M31" s="228"/>
      <c r="N31" s="230"/>
      <c r="O31" s="227"/>
    </row>
    <row r="32" spans="1:15" ht="15" customHeight="1">
      <c r="A32" s="273" t="str">
        <f t="shared" si="0"/>
        <v/>
      </c>
      <c r="B32" s="289"/>
      <c r="C32" s="287"/>
      <c r="D32" s="286"/>
      <c r="E32" s="272"/>
      <c r="F32" s="286"/>
      <c r="G32" s="286"/>
      <c r="H32" s="299"/>
      <c r="I32" s="299"/>
      <c r="J32" s="276"/>
      <c r="K32" s="227"/>
      <c r="L32" s="227"/>
      <c r="M32" s="228"/>
      <c r="N32" s="230"/>
      <c r="O32" s="227"/>
    </row>
    <row r="33" spans="1:15" ht="15" customHeight="1">
      <c r="A33" s="273" t="str">
        <f t="shared" si="0"/>
        <v/>
      </c>
      <c r="B33" s="289"/>
      <c r="C33" s="287"/>
      <c r="D33" s="286"/>
      <c r="E33" s="272"/>
      <c r="F33" s="286"/>
      <c r="G33" s="286"/>
      <c r="H33" s="299"/>
      <c r="I33" s="299"/>
      <c r="J33" s="276"/>
      <c r="K33" s="227"/>
      <c r="L33" s="227"/>
      <c r="M33" s="228"/>
      <c r="N33" s="230"/>
      <c r="O33" s="227"/>
    </row>
    <row r="34" spans="1:15" ht="15" customHeight="1">
      <c r="A34" s="273" t="str">
        <f t="shared" si="0"/>
        <v/>
      </c>
      <c r="B34" s="289"/>
      <c r="C34" s="287"/>
      <c r="D34" s="286"/>
      <c r="E34" s="272"/>
      <c r="F34" s="286"/>
      <c r="G34" s="286"/>
      <c r="H34" s="299"/>
      <c r="I34" s="299"/>
      <c r="J34" s="276"/>
      <c r="K34" s="227"/>
      <c r="L34" s="227"/>
      <c r="M34" s="228"/>
      <c r="N34" s="230"/>
      <c r="O34" s="227"/>
    </row>
    <row r="35" spans="1:15" ht="15" customHeight="1">
      <c r="A35" s="273" t="str">
        <f t="shared" si="0"/>
        <v/>
      </c>
      <c r="B35" s="289"/>
      <c r="C35" s="287"/>
      <c r="D35" s="286"/>
      <c r="E35" s="272"/>
      <c r="F35" s="286"/>
      <c r="G35" s="286"/>
      <c r="H35" s="299"/>
      <c r="I35" s="299"/>
      <c r="J35" s="276"/>
      <c r="K35" s="227"/>
      <c r="L35" s="227"/>
      <c r="M35" s="228"/>
      <c r="N35" s="230"/>
      <c r="O35" s="227"/>
    </row>
    <row r="36" spans="1:15" ht="15" customHeight="1">
      <c r="A36" s="273" t="str">
        <f t="shared" si="0"/>
        <v/>
      </c>
      <c r="B36" s="289"/>
      <c r="C36" s="287"/>
      <c r="D36" s="286"/>
      <c r="E36" s="272"/>
      <c r="F36" s="286"/>
      <c r="G36" s="286"/>
      <c r="H36" s="299"/>
      <c r="I36" s="299"/>
      <c r="J36" s="276"/>
      <c r="K36" s="227"/>
      <c r="L36" s="227"/>
      <c r="M36" s="228"/>
      <c r="N36" s="230"/>
      <c r="O36" s="227"/>
    </row>
    <row r="37" spans="1:15" ht="15" customHeight="1">
      <c r="A37" s="273" t="str">
        <f t="shared" si="0"/>
        <v/>
      </c>
      <c r="B37" s="289"/>
      <c r="C37" s="287"/>
      <c r="D37" s="286"/>
      <c r="E37" s="272"/>
      <c r="F37" s="286"/>
      <c r="G37" s="286"/>
      <c r="H37" s="299"/>
      <c r="I37" s="299"/>
      <c r="J37" s="276"/>
      <c r="K37" s="227"/>
      <c r="L37" s="227"/>
      <c r="M37" s="228"/>
      <c r="N37" s="230"/>
      <c r="O37" s="227"/>
    </row>
    <row r="38" spans="1:15" ht="15" customHeight="1">
      <c r="A38" s="273" t="str">
        <f t="shared" si="0"/>
        <v/>
      </c>
      <c r="B38" s="289"/>
      <c r="C38" s="287"/>
      <c r="D38" s="286"/>
      <c r="E38" s="272"/>
      <c r="F38" s="286"/>
      <c r="G38" s="286"/>
      <c r="H38" s="299"/>
      <c r="I38" s="299"/>
      <c r="J38" s="276"/>
      <c r="K38" s="227"/>
      <c r="L38" s="227"/>
      <c r="M38" s="228"/>
      <c r="N38" s="230"/>
      <c r="O38" s="227"/>
    </row>
    <row r="39" spans="1:15" ht="15" customHeight="1">
      <c r="A39" s="273" t="str">
        <f t="shared" si="0"/>
        <v/>
      </c>
      <c r="B39" s="289"/>
      <c r="C39" s="287"/>
      <c r="D39" s="286"/>
      <c r="E39" s="272"/>
      <c r="F39" s="286"/>
      <c r="G39" s="286"/>
      <c r="H39" s="299"/>
      <c r="I39" s="299"/>
      <c r="J39" s="276"/>
      <c r="K39" s="227"/>
      <c r="L39" s="227"/>
      <c r="M39" s="228"/>
      <c r="N39" s="230"/>
      <c r="O39" s="227"/>
    </row>
    <row r="40" spans="1:15" ht="15" customHeight="1">
      <c r="A40" s="273" t="str">
        <f t="shared" si="0"/>
        <v/>
      </c>
      <c r="B40" s="289"/>
      <c r="C40" s="287"/>
      <c r="D40" s="286"/>
      <c r="E40" s="272"/>
      <c r="F40" s="286"/>
      <c r="G40" s="286"/>
      <c r="H40" s="299"/>
      <c r="I40" s="299"/>
      <c r="J40" s="276"/>
      <c r="K40" s="227"/>
      <c r="L40" s="227"/>
      <c r="M40" s="228"/>
      <c r="N40" s="230"/>
      <c r="O40" s="227"/>
    </row>
    <row r="41" spans="1:15" ht="15" customHeight="1">
      <c r="A41" s="273" t="str">
        <f t="shared" si="0"/>
        <v/>
      </c>
      <c r="B41" s="289"/>
      <c r="C41" s="287"/>
      <c r="D41" s="286"/>
      <c r="E41" s="272"/>
      <c r="F41" s="286"/>
      <c r="G41" s="286"/>
      <c r="H41" s="299"/>
      <c r="I41" s="299"/>
      <c r="J41" s="276"/>
      <c r="K41" s="227"/>
      <c r="L41" s="227"/>
      <c r="M41" s="228"/>
      <c r="N41" s="230"/>
      <c r="O41" s="227"/>
    </row>
    <row r="42" spans="1:15" ht="15" customHeight="1">
      <c r="A42" s="273" t="str">
        <f t="shared" si="0"/>
        <v/>
      </c>
      <c r="B42" s="289"/>
      <c r="C42" s="287"/>
      <c r="D42" s="286"/>
      <c r="E42" s="272"/>
      <c r="F42" s="286"/>
      <c r="G42" s="286"/>
      <c r="H42" s="299"/>
      <c r="I42" s="299"/>
      <c r="J42" s="276"/>
      <c r="K42" s="227"/>
      <c r="L42" s="227"/>
      <c r="M42" s="228"/>
      <c r="N42" s="230"/>
      <c r="O42" s="227"/>
    </row>
    <row r="43" spans="1:15" ht="15" customHeight="1">
      <c r="A43" s="273" t="str">
        <f t="shared" si="0"/>
        <v/>
      </c>
      <c r="B43" s="289"/>
      <c r="C43" s="287"/>
      <c r="D43" s="286"/>
      <c r="E43" s="272"/>
      <c r="F43" s="286"/>
      <c r="G43" s="286"/>
      <c r="H43" s="299"/>
      <c r="I43" s="299"/>
      <c r="J43" s="276"/>
      <c r="K43" s="227"/>
      <c r="L43" s="227"/>
      <c r="M43" s="228"/>
      <c r="N43" s="230"/>
      <c r="O43" s="227"/>
    </row>
    <row r="44" spans="1:15" ht="15" customHeight="1">
      <c r="A44" s="273" t="str">
        <f t="shared" si="0"/>
        <v/>
      </c>
      <c r="B44" s="289"/>
      <c r="C44" s="287"/>
      <c r="D44" s="286"/>
      <c r="E44" s="272"/>
      <c r="F44" s="286"/>
      <c r="G44" s="286"/>
      <c r="H44" s="299"/>
      <c r="I44" s="299"/>
      <c r="J44" s="276"/>
      <c r="K44" s="227"/>
      <c r="L44" s="227"/>
      <c r="M44" s="228"/>
      <c r="N44" s="230"/>
      <c r="O44" s="227"/>
    </row>
    <row r="45" spans="1:15" ht="15" customHeight="1">
      <c r="A45" s="273" t="str">
        <f t="shared" si="0"/>
        <v/>
      </c>
      <c r="B45" s="289"/>
      <c r="C45" s="287"/>
      <c r="D45" s="286"/>
      <c r="E45" s="272"/>
      <c r="F45" s="286"/>
      <c r="G45" s="286"/>
      <c r="H45" s="299"/>
      <c r="I45" s="299"/>
      <c r="J45" s="276"/>
      <c r="K45" s="227"/>
      <c r="L45" s="227"/>
      <c r="M45" s="228"/>
      <c r="N45" s="230"/>
      <c r="O45" s="227"/>
    </row>
    <row r="46" spans="1:15" ht="15" customHeight="1">
      <c r="A46" s="273" t="str">
        <f t="shared" si="0"/>
        <v/>
      </c>
      <c r="B46" s="289"/>
      <c r="C46" s="287"/>
      <c r="D46" s="286"/>
      <c r="E46" s="272"/>
      <c r="F46" s="286"/>
      <c r="G46" s="286"/>
      <c r="H46" s="299"/>
      <c r="I46" s="299"/>
      <c r="J46" s="276"/>
      <c r="K46" s="227"/>
      <c r="L46" s="227"/>
      <c r="M46" s="228"/>
      <c r="N46" s="230"/>
      <c r="O46" s="227"/>
    </row>
    <row r="47" spans="1:15" ht="15" customHeight="1">
      <c r="A47" s="273" t="str">
        <f t="shared" si="0"/>
        <v/>
      </c>
      <c r="B47" s="289"/>
      <c r="C47" s="287"/>
      <c r="D47" s="286"/>
      <c r="E47" s="272"/>
      <c r="F47" s="286"/>
      <c r="G47" s="286"/>
      <c r="H47" s="299"/>
      <c r="I47" s="299"/>
      <c r="J47" s="276"/>
      <c r="K47" s="227"/>
      <c r="L47" s="227"/>
      <c r="M47" s="228"/>
      <c r="N47" s="230"/>
      <c r="O47" s="227"/>
    </row>
    <row r="48" spans="1:15" ht="15" customHeight="1">
      <c r="A48" s="273" t="str">
        <f t="shared" si="0"/>
        <v/>
      </c>
      <c r="B48" s="289"/>
      <c r="C48" s="287"/>
      <c r="D48" s="286"/>
      <c r="E48" s="272"/>
      <c r="F48" s="286"/>
      <c r="G48" s="286"/>
      <c r="H48" s="299"/>
      <c r="I48" s="299"/>
      <c r="J48" s="276"/>
      <c r="K48" s="227"/>
      <c r="L48" s="227"/>
      <c r="M48" s="228"/>
      <c r="N48" s="230"/>
      <c r="O48" s="227"/>
    </row>
    <row r="49" spans="1:15" ht="15" customHeight="1">
      <c r="A49" s="273" t="str">
        <f t="shared" si="0"/>
        <v/>
      </c>
      <c r="B49" s="289"/>
      <c r="C49" s="287"/>
      <c r="D49" s="286"/>
      <c r="E49" s="272"/>
      <c r="F49" s="286"/>
      <c r="G49" s="286"/>
      <c r="H49" s="299"/>
      <c r="I49" s="299"/>
      <c r="J49" s="276"/>
      <c r="K49" s="227"/>
      <c r="L49" s="227"/>
      <c r="M49" s="228"/>
      <c r="N49" s="230"/>
      <c r="O49" s="227"/>
    </row>
    <row r="50" spans="1:15" ht="15" customHeight="1">
      <c r="A50" s="273" t="str">
        <f t="shared" si="0"/>
        <v/>
      </c>
      <c r="B50" s="289"/>
      <c r="C50" s="287"/>
      <c r="D50" s="286"/>
      <c r="E50" s="272"/>
      <c r="F50" s="286"/>
      <c r="G50" s="286"/>
      <c r="H50" s="299"/>
      <c r="I50" s="299"/>
      <c r="J50" s="276"/>
      <c r="K50" s="227"/>
      <c r="L50" s="227"/>
      <c r="M50" s="228"/>
      <c r="N50" s="230"/>
      <c r="O50" s="227"/>
    </row>
    <row r="51" spans="1:15" ht="15" customHeight="1">
      <c r="A51" s="273" t="str">
        <f t="shared" si="0"/>
        <v/>
      </c>
      <c r="B51" s="289"/>
      <c r="C51" s="287"/>
      <c r="D51" s="286"/>
      <c r="E51" s="272"/>
      <c r="F51" s="286"/>
      <c r="G51" s="286"/>
      <c r="H51" s="299"/>
      <c r="I51" s="299"/>
      <c r="J51" s="276"/>
      <c r="K51" s="227"/>
      <c r="L51" s="227"/>
      <c r="M51" s="228"/>
      <c r="N51" s="230"/>
      <c r="O51" s="227"/>
    </row>
    <row r="52" spans="1:15" ht="15" customHeight="1">
      <c r="A52" s="273" t="str">
        <f t="shared" si="0"/>
        <v/>
      </c>
      <c r="B52" s="289"/>
      <c r="C52" s="287"/>
      <c r="D52" s="286"/>
      <c r="E52" s="272"/>
      <c r="F52" s="286"/>
      <c r="G52" s="286"/>
      <c r="H52" s="299"/>
      <c r="I52" s="299"/>
      <c r="J52" s="276"/>
      <c r="K52" s="227"/>
      <c r="L52" s="227"/>
      <c r="M52" s="228"/>
      <c r="N52" s="230"/>
      <c r="O52" s="227"/>
    </row>
    <row r="53" spans="1:15" ht="15" customHeight="1">
      <c r="A53" s="273" t="str">
        <f t="shared" si="0"/>
        <v/>
      </c>
      <c r="B53" s="289"/>
      <c r="C53" s="287"/>
      <c r="D53" s="286"/>
      <c r="E53" s="272"/>
      <c r="F53" s="286"/>
      <c r="G53" s="286"/>
      <c r="H53" s="299"/>
      <c r="I53" s="299"/>
      <c r="J53" s="276"/>
      <c r="K53" s="227"/>
      <c r="L53" s="227"/>
      <c r="M53" s="228"/>
      <c r="N53" s="230"/>
      <c r="O53" s="227"/>
    </row>
    <row r="54" spans="1:15" ht="15" customHeight="1">
      <c r="A54" s="273" t="str">
        <f t="shared" si="0"/>
        <v/>
      </c>
      <c r="B54" s="289"/>
      <c r="C54" s="287"/>
      <c r="D54" s="286"/>
      <c r="E54" s="272"/>
      <c r="F54" s="286"/>
      <c r="G54" s="286"/>
      <c r="H54" s="299"/>
      <c r="I54" s="299"/>
      <c r="J54" s="276"/>
      <c r="K54" s="227"/>
      <c r="L54" s="227"/>
      <c r="M54" s="228"/>
      <c r="N54" s="230"/>
      <c r="O54" s="227"/>
    </row>
    <row r="55" spans="1:15" ht="15" customHeight="1">
      <c r="A55" s="273" t="str">
        <f t="shared" si="0"/>
        <v/>
      </c>
      <c r="B55" s="289"/>
      <c r="C55" s="287"/>
      <c r="D55" s="286"/>
      <c r="E55" s="272"/>
      <c r="F55" s="286"/>
      <c r="G55" s="286"/>
      <c r="H55" s="299"/>
      <c r="I55" s="299"/>
      <c r="J55" s="276"/>
      <c r="K55" s="227"/>
      <c r="L55" s="227"/>
      <c r="M55" s="228"/>
      <c r="N55" s="230"/>
      <c r="O55" s="227"/>
    </row>
    <row r="56" spans="1:15" ht="15" customHeight="1">
      <c r="A56" s="273" t="str">
        <f t="shared" si="0"/>
        <v/>
      </c>
      <c r="B56" s="289"/>
      <c r="C56" s="287"/>
      <c r="D56" s="286"/>
      <c r="E56" s="272"/>
      <c r="F56" s="286"/>
      <c r="G56" s="286"/>
      <c r="H56" s="299"/>
      <c r="I56" s="299"/>
      <c r="J56" s="276"/>
      <c r="K56" s="227"/>
      <c r="L56" s="227"/>
      <c r="M56" s="228"/>
      <c r="N56" s="230"/>
      <c r="O56" s="227"/>
    </row>
    <row r="57" spans="1:15" ht="15" customHeight="1">
      <c r="A57" s="273" t="str">
        <f t="shared" si="0"/>
        <v/>
      </c>
      <c r="B57" s="289"/>
      <c r="C57" s="287"/>
      <c r="D57" s="286"/>
      <c r="E57" s="272"/>
      <c r="F57" s="286"/>
      <c r="G57" s="286"/>
      <c r="H57" s="299"/>
      <c r="I57" s="299"/>
      <c r="J57" s="276"/>
      <c r="K57" s="227"/>
      <c r="L57" s="227"/>
      <c r="M57" s="228"/>
      <c r="N57" s="230"/>
      <c r="O57" s="227"/>
    </row>
    <row r="58" spans="1:15" ht="15" customHeight="1">
      <c r="A58" s="273" t="str">
        <f t="shared" si="0"/>
        <v/>
      </c>
      <c r="B58" s="289"/>
      <c r="C58" s="287"/>
      <c r="D58" s="286"/>
      <c r="E58" s="272"/>
      <c r="F58" s="286"/>
      <c r="G58" s="286"/>
      <c r="H58" s="299"/>
      <c r="I58" s="299"/>
      <c r="J58" s="276"/>
      <c r="K58" s="227"/>
      <c r="L58" s="227"/>
      <c r="M58" s="228"/>
      <c r="N58" s="230"/>
      <c r="O58" s="227"/>
    </row>
    <row r="59" spans="1:15" ht="15" customHeight="1">
      <c r="A59" s="273" t="str">
        <f t="shared" si="0"/>
        <v/>
      </c>
      <c r="B59" s="289"/>
      <c r="C59" s="287"/>
      <c r="D59" s="286"/>
      <c r="E59" s="272"/>
      <c r="F59" s="286"/>
      <c r="G59" s="286"/>
      <c r="H59" s="299"/>
      <c r="I59" s="299"/>
      <c r="J59" s="276"/>
      <c r="K59" s="227"/>
      <c r="L59" s="227"/>
      <c r="M59" s="228"/>
      <c r="N59" s="230"/>
      <c r="O59" s="227"/>
    </row>
    <row r="60" spans="1:15" ht="15" customHeight="1">
      <c r="A60" s="273" t="str">
        <f t="shared" si="0"/>
        <v/>
      </c>
      <c r="B60" s="289"/>
      <c r="C60" s="287"/>
      <c r="D60" s="286"/>
      <c r="E60" s="272"/>
      <c r="F60" s="286"/>
      <c r="G60" s="286"/>
      <c r="H60" s="299"/>
      <c r="I60" s="299"/>
      <c r="J60" s="276"/>
      <c r="K60" s="227"/>
      <c r="L60" s="227"/>
      <c r="M60" s="228"/>
      <c r="N60" s="230"/>
      <c r="O60" s="227"/>
    </row>
    <row r="61" spans="1:15" ht="15" customHeight="1">
      <c r="A61" s="273" t="str">
        <f t="shared" si="0"/>
        <v/>
      </c>
      <c r="B61" s="289"/>
      <c r="C61" s="287"/>
      <c r="D61" s="286"/>
      <c r="E61" s="272"/>
      <c r="F61" s="286"/>
      <c r="G61" s="286"/>
      <c r="H61" s="299"/>
      <c r="I61" s="299"/>
      <c r="J61" s="276"/>
      <c r="K61" s="227"/>
      <c r="L61" s="227"/>
      <c r="M61" s="228"/>
      <c r="N61" s="230"/>
      <c r="O61" s="227"/>
    </row>
    <row r="62" spans="1:15" ht="15" customHeight="1">
      <c r="A62" s="273" t="str">
        <f t="shared" si="0"/>
        <v/>
      </c>
      <c r="B62" s="289"/>
      <c r="C62" s="287"/>
      <c r="D62" s="286"/>
      <c r="E62" s="272"/>
      <c r="F62" s="286"/>
      <c r="G62" s="286"/>
      <c r="H62" s="299"/>
      <c r="I62" s="299"/>
      <c r="J62" s="276"/>
      <c r="K62" s="227"/>
      <c r="L62" s="227"/>
      <c r="M62" s="228"/>
      <c r="N62" s="230"/>
      <c r="O62" s="227"/>
    </row>
    <row r="63" spans="1:15" ht="15" customHeight="1">
      <c r="A63" s="273" t="str">
        <f t="shared" si="0"/>
        <v/>
      </c>
      <c r="B63" s="289"/>
      <c r="C63" s="287"/>
      <c r="D63" s="286"/>
      <c r="E63" s="272"/>
      <c r="F63" s="286"/>
      <c r="G63" s="286"/>
      <c r="H63" s="299"/>
      <c r="I63" s="299"/>
      <c r="J63" s="276"/>
      <c r="K63" s="227"/>
      <c r="L63" s="227"/>
      <c r="M63" s="228"/>
      <c r="N63" s="230"/>
      <c r="O63" s="227"/>
    </row>
    <row r="64" spans="1:15" ht="15" customHeight="1">
      <c r="A64" s="273" t="str">
        <f t="shared" si="0"/>
        <v/>
      </c>
      <c r="B64" s="289"/>
      <c r="C64" s="287"/>
      <c r="D64" s="286"/>
      <c r="E64" s="272"/>
      <c r="F64" s="286"/>
      <c r="G64" s="286"/>
      <c r="H64" s="299"/>
      <c r="I64" s="299"/>
      <c r="J64" s="276"/>
      <c r="K64" s="227"/>
      <c r="L64" s="227"/>
      <c r="M64" s="228"/>
      <c r="N64" s="230"/>
      <c r="O64" s="227"/>
    </row>
    <row r="65" spans="1:15" ht="15" customHeight="1">
      <c r="A65" s="273" t="str">
        <f t="shared" si="0"/>
        <v/>
      </c>
      <c r="B65" s="289"/>
      <c r="C65" s="287"/>
      <c r="D65" s="286"/>
      <c r="E65" s="272"/>
      <c r="F65" s="286"/>
      <c r="G65" s="286"/>
      <c r="H65" s="299"/>
      <c r="I65" s="299"/>
      <c r="J65" s="276"/>
      <c r="K65" s="227"/>
      <c r="L65" s="227"/>
      <c r="M65" s="228"/>
      <c r="N65" s="230"/>
      <c r="O65" s="227"/>
    </row>
    <row r="66" spans="1:15" ht="15" customHeight="1">
      <c r="A66" s="273" t="str">
        <f t="shared" si="0"/>
        <v/>
      </c>
      <c r="B66" s="289"/>
      <c r="C66" s="287"/>
      <c r="D66" s="286"/>
      <c r="E66" s="272"/>
      <c r="F66" s="286"/>
      <c r="G66" s="286"/>
      <c r="H66" s="299"/>
      <c r="I66" s="299"/>
      <c r="J66" s="276"/>
      <c r="K66" s="227"/>
      <c r="L66" s="227"/>
      <c r="M66" s="228"/>
      <c r="N66" s="230"/>
      <c r="O66" s="227"/>
    </row>
    <row r="67" spans="1:15" ht="15" customHeight="1">
      <c r="A67" s="273" t="str">
        <f t="shared" si="0"/>
        <v/>
      </c>
      <c r="B67" s="289"/>
      <c r="C67" s="287"/>
      <c r="D67" s="286"/>
      <c r="E67" s="272"/>
      <c r="F67" s="286"/>
      <c r="G67" s="286"/>
      <c r="H67" s="299"/>
      <c r="I67" s="299"/>
      <c r="J67" s="276"/>
      <c r="K67" s="227"/>
      <c r="L67" s="227"/>
      <c r="M67" s="228"/>
      <c r="N67" s="230"/>
      <c r="O67" s="227"/>
    </row>
    <row r="68" spans="1:15" ht="15" customHeight="1">
      <c r="A68" s="273" t="str">
        <f t="shared" si="0"/>
        <v/>
      </c>
      <c r="B68" s="289"/>
      <c r="C68" s="287"/>
      <c r="D68" s="286"/>
      <c r="E68" s="272"/>
      <c r="F68" s="286"/>
      <c r="G68" s="286"/>
      <c r="H68" s="299"/>
      <c r="I68" s="299"/>
      <c r="J68" s="276"/>
      <c r="K68" s="227"/>
      <c r="L68" s="227"/>
      <c r="M68" s="228"/>
      <c r="N68" s="230"/>
      <c r="O68" s="227"/>
    </row>
    <row r="69" spans="1:15" ht="15" customHeight="1">
      <c r="A69" s="273" t="str">
        <f t="shared" si="0"/>
        <v/>
      </c>
      <c r="B69" s="289"/>
      <c r="C69" s="287"/>
      <c r="D69" s="286"/>
      <c r="E69" s="272"/>
      <c r="F69" s="286"/>
      <c r="G69" s="286"/>
      <c r="H69" s="299"/>
      <c r="I69" s="299"/>
      <c r="J69" s="276"/>
      <c r="K69" s="227"/>
      <c r="L69" s="227"/>
      <c r="M69" s="228"/>
      <c r="N69" s="230"/>
      <c r="O69" s="227"/>
    </row>
    <row r="70" spans="1:15" ht="15" customHeight="1">
      <c r="A70" s="273" t="str">
        <f t="shared" si="0"/>
        <v/>
      </c>
      <c r="B70" s="289"/>
      <c r="C70" s="287"/>
      <c r="D70" s="286"/>
      <c r="E70" s="272"/>
      <c r="F70" s="286"/>
      <c r="G70" s="286"/>
      <c r="H70" s="299"/>
      <c r="I70" s="299"/>
      <c r="J70" s="276"/>
      <c r="K70" s="227"/>
      <c r="L70" s="227"/>
      <c r="M70" s="228"/>
      <c r="N70" s="230"/>
      <c r="O70" s="227"/>
    </row>
    <row r="71" spans="1:15" ht="15" customHeight="1">
      <c r="A71" s="273" t="str">
        <f t="shared" si="0"/>
        <v/>
      </c>
      <c r="B71" s="289"/>
      <c r="C71" s="287"/>
      <c r="D71" s="286"/>
      <c r="E71" s="272"/>
      <c r="F71" s="286"/>
      <c r="G71" s="286"/>
      <c r="H71" s="299"/>
      <c r="I71" s="299"/>
      <c r="J71" s="276"/>
      <c r="K71" s="227"/>
      <c r="L71" s="227"/>
      <c r="M71" s="228"/>
      <c r="N71" s="230"/>
      <c r="O71" s="227"/>
    </row>
    <row r="72" spans="1:15" ht="15" customHeight="1">
      <c r="A72" s="273" t="str">
        <f t="shared" si="0"/>
        <v/>
      </c>
      <c r="B72" s="289"/>
      <c r="C72" s="287"/>
      <c r="D72" s="286"/>
      <c r="E72" s="272"/>
      <c r="F72" s="286"/>
      <c r="G72" s="286"/>
      <c r="H72" s="299"/>
      <c r="I72" s="299"/>
      <c r="J72" s="276"/>
      <c r="K72" s="227"/>
      <c r="L72" s="227"/>
      <c r="M72" s="228"/>
      <c r="N72" s="230"/>
      <c r="O72" s="227"/>
    </row>
    <row r="73" spans="1:15" ht="15" customHeight="1">
      <c r="A73" s="273" t="str">
        <f t="shared" si="0"/>
        <v/>
      </c>
      <c r="B73" s="289"/>
      <c r="C73" s="287"/>
      <c r="D73" s="286"/>
      <c r="E73" s="272"/>
      <c r="F73" s="286"/>
      <c r="G73" s="286"/>
      <c r="H73" s="299"/>
      <c r="I73" s="299"/>
      <c r="J73" s="276"/>
      <c r="K73" s="227"/>
      <c r="L73" s="227"/>
      <c r="M73" s="228"/>
      <c r="N73" s="230"/>
      <c r="O73" s="227"/>
    </row>
    <row r="74" spans="1:15" ht="15" customHeight="1">
      <c r="A74" s="273" t="str">
        <f t="shared" si="0"/>
        <v/>
      </c>
      <c r="B74" s="289"/>
      <c r="C74" s="287"/>
      <c r="D74" s="286"/>
      <c r="E74" s="272"/>
      <c r="F74" s="286"/>
      <c r="G74" s="286"/>
      <c r="H74" s="299"/>
      <c r="I74" s="299"/>
      <c r="J74" s="276"/>
      <c r="K74" s="227"/>
      <c r="L74" s="227"/>
      <c r="M74" s="228"/>
      <c r="N74" s="230"/>
      <c r="O74" s="227"/>
    </row>
    <row r="75" spans="1:15" ht="15" customHeight="1">
      <c r="A75" s="273" t="str">
        <f t="shared" si="0"/>
        <v/>
      </c>
      <c r="B75" s="289"/>
      <c r="C75" s="287"/>
      <c r="D75" s="286"/>
      <c r="E75" s="272"/>
      <c r="F75" s="286"/>
      <c r="G75" s="286"/>
      <c r="H75" s="299"/>
      <c r="I75" s="299"/>
      <c r="J75" s="276"/>
      <c r="K75" s="227"/>
      <c r="L75" s="227"/>
      <c r="M75" s="228"/>
      <c r="N75" s="230"/>
      <c r="O75" s="227"/>
    </row>
    <row r="76" spans="1:15" ht="15" customHeight="1">
      <c r="A76" s="273" t="str">
        <f t="shared" si="0"/>
        <v/>
      </c>
      <c r="B76" s="289"/>
      <c r="C76" s="287"/>
      <c r="D76" s="286"/>
      <c r="E76" s="272"/>
      <c r="F76" s="286"/>
      <c r="G76" s="286"/>
      <c r="H76" s="299"/>
      <c r="I76" s="299"/>
      <c r="J76" s="276"/>
      <c r="K76" s="227"/>
      <c r="L76" s="227"/>
      <c r="M76" s="228"/>
      <c r="N76" s="230"/>
      <c r="O76" s="227"/>
    </row>
    <row r="77" spans="1:15" ht="15" customHeight="1">
      <c r="A77" s="273" t="str">
        <f t="shared" si="0"/>
        <v/>
      </c>
      <c r="B77" s="289"/>
      <c r="C77" s="287"/>
      <c r="D77" s="286"/>
      <c r="E77" s="272"/>
      <c r="F77" s="286"/>
      <c r="G77" s="286"/>
      <c r="H77" s="299"/>
      <c r="I77" s="299"/>
      <c r="J77" s="276"/>
      <c r="K77" s="227"/>
      <c r="L77" s="227"/>
      <c r="M77" s="228"/>
      <c r="N77" s="230"/>
      <c r="O77" s="227"/>
    </row>
    <row r="78" spans="1:15" ht="15" customHeight="1">
      <c r="A78" s="273" t="str">
        <f t="shared" si="0"/>
        <v/>
      </c>
      <c r="B78" s="289"/>
      <c r="C78" s="287"/>
      <c r="D78" s="286"/>
      <c r="E78" s="272"/>
      <c r="F78" s="286"/>
      <c r="G78" s="286"/>
      <c r="H78" s="299"/>
      <c r="I78" s="299"/>
      <c r="J78" s="276"/>
      <c r="K78" s="227"/>
      <c r="L78" s="227"/>
      <c r="M78" s="228"/>
      <c r="N78" s="230"/>
      <c r="O78" s="227"/>
    </row>
    <row r="79" spans="1:15" ht="15" customHeight="1">
      <c r="A79" s="273" t="str">
        <f t="shared" si="0"/>
        <v/>
      </c>
      <c r="B79" s="289"/>
      <c r="C79" s="287"/>
      <c r="D79" s="286"/>
      <c r="E79" s="272"/>
      <c r="F79" s="286"/>
      <c r="G79" s="286"/>
      <c r="H79" s="299"/>
      <c r="I79" s="299"/>
      <c r="J79" s="276"/>
      <c r="K79" s="227"/>
      <c r="L79" s="227"/>
      <c r="M79" s="228"/>
      <c r="N79" s="230"/>
      <c r="O79" s="227"/>
    </row>
    <row r="80" spans="1:15" ht="15" customHeight="1">
      <c r="A80" s="273" t="str">
        <f t="shared" ref="A80:A100" si="1">IF(D80="","",ROW()-13)</f>
        <v/>
      </c>
      <c r="B80" s="289"/>
      <c r="C80" s="287"/>
      <c r="D80" s="286"/>
      <c r="E80" s="272"/>
      <c r="F80" s="286"/>
      <c r="G80" s="286"/>
      <c r="H80" s="299"/>
      <c r="I80" s="299"/>
      <c r="J80" s="276"/>
      <c r="K80" s="227"/>
      <c r="L80" s="227"/>
      <c r="M80" s="228"/>
      <c r="N80" s="230"/>
      <c r="O80" s="227"/>
    </row>
    <row r="81" spans="1:15" ht="15" customHeight="1">
      <c r="A81" s="273" t="str">
        <f t="shared" si="1"/>
        <v/>
      </c>
      <c r="B81" s="289"/>
      <c r="C81" s="287"/>
      <c r="D81" s="286"/>
      <c r="E81" s="272"/>
      <c r="F81" s="286"/>
      <c r="G81" s="286"/>
      <c r="H81" s="299"/>
      <c r="I81" s="299"/>
      <c r="J81" s="276"/>
      <c r="K81" s="227"/>
      <c r="L81" s="227"/>
      <c r="M81" s="228"/>
      <c r="N81" s="230"/>
      <c r="O81" s="227"/>
    </row>
    <row r="82" spans="1:15" ht="15" customHeight="1">
      <c r="A82" s="273" t="str">
        <f t="shared" si="1"/>
        <v/>
      </c>
      <c r="B82" s="289"/>
      <c r="C82" s="287"/>
      <c r="D82" s="286"/>
      <c r="E82" s="272"/>
      <c r="F82" s="286"/>
      <c r="G82" s="286"/>
      <c r="H82" s="299"/>
      <c r="I82" s="299"/>
      <c r="J82" s="276"/>
      <c r="K82" s="227"/>
      <c r="L82" s="227"/>
      <c r="M82" s="228"/>
      <c r="N82" s="230"/>
      <c r="O82" s="227"/>
    </row>
    <row r="83" spans="1:15" ht="15" customHeight="1">
      <c r="A83" s="273" t="str">
        <f t="shared" si="1"/>
        <v/>
      </c>
      <c r="B83" s="289"/>
      <c r="C83" s="287"/>
      <c r="D83" s="286"/>
      <c r="E83" s="272"/>
      <c r="F83" s="286"/>
      <c r="G83" s="286"/>
      <c r="H83" s="299"/>
      <c r="I83" s="299"/>
      <c r="J83" s="276"/>
      <c r="K83" s="227"/>
      <c r="L83" s="227"/>
      <c r="M83" s="228"/>
      <c r="N83" s="230"/>
      <c r="O83" s="227"/>
    </row>
    <row r="84" spans="1:15" ht="15" customHeight="1">
      <c r="A84" s="273" t="str">
        <f t="shared" si="1"/>
        <v/>
      </c>
      <c r="B84" s="289"/>
      <c r="C84" s="287"/>
      <c r="D84" s="286"/>
      <c r="E84" s="272"/>
      <c r="F84" s="286"/>
      <c r="G84" s="286"/>
      <c r="H84" s="299"/>
      <c r="I84" s="299"/>
      <c r="J84" s="276"/>
      <c r="K84" s="227"/>
      <c r="L84" s="227"/>
      <c r="M84" s="228"/>
      <c r="N84" s="230"/>
      <c r="O84" s="227"/>
    </row>
    <row r="85" spans="1:15" ht="15" customHeight="1">
      <c r="A85" s="273" t="str">
        <f t="shared" si="1"/>
        <v/>
      </c>
      <c r="B85" s="289"/>
      <c r="C85" s="287"/>
      <c r="D85" s="286"/>
      <c r="E85" s="272"/>
      <c r="F85" s="286"/>
      <c r="G85" s="286"/>
      <c r="H85" s="299"/>
      <c r="I85" s="299"/>
      <c r="J85" s="276"/>
      <c r="K85" s="227"/>
      <c r="L85" s="227"/>
      <c r="M85" s="228"/>
      <c r="N85" s="230"/>
      <c r="O85" s="227"/>
    </row>
    <row r="86" spans="1:15" ht="15" customHeight="1">
      <c r="A86" s="273" t="str">
        <f t="shared" si="1"/>
        <v/>
      </c>
      <c r="B86" s="289"/>
      <c r="C86" s="287"/>
      <c r="D86" s="286"/>
      <c r="E86" s="272"/>
      <c r="F86" s="286"/>
      <c r="G86" s="286"/>
      <c r="H86" s="299"/>
      <c r="I86" s="299"/>
      <c r="J86" s="276"/>
      <c r="K86" s="227"/>
      <c r="L86" s="227"/>
      <c r="M86" s="228"/>
      <c r="N86" s="230"/>
      <c r="O86" s="227"/>
    </row>
    <row r="87" spans="1:15" ht="15" customHeight="1">
      <c r="A87" s="273" t="str">
        <f t="shared" si="1"/>
        <v/>
      </c>
      <c r="B87" s="289"/>
      <c r="C87" s="287"/>
      <c r="D87" s="286"/>
      <c r="E87" s="272"/>
      <c r="F87" s="286"/>
      <c r="G87" s="286"/>
      <c r="H87" s="299"/>
      <c r="I87" s="299"/>
      <c r="J87" s="276"/>
      <c r="K87" s="227"/>
      <c r="L87" s="227"/>
      <c r="M87" s="228"/>
      <c r="N87" s="230"/>
      <c r="O87" s="227"/>
    </row>
    <row r="88" spans="1:15" ht="15" customHeight="1">
      <c r="A88" s="273" t="str">
        <f t="shared" si="1"/>
        <v/>
      </c>
      <c r="B88" s="289"/>
      <c r="C88" s="287"/>
      <c r="D88" s="286"/>
      <c r="E88" s="272"/>
      <c r="F88" s="286"/>
      <c r="G88" s="286"/>
      <c r="H88" s="299"/>
      <c r="I88" s="299"/>
      <c r="J88" s="276"/>
      <c r="K88" s="227"/>
      <c r="L88" s="227"/>
      <c r="M88" s="228"/>
      <c r="N88" s="230"/>
      <c r="O88" s="227"/>
    </row>
    <row r="89" spans="1:15" ht="15" customHeight="1">
      <c r="A89" s="273" t="str">
        <f t="shared" si="1"/>
        <v/>
      </c>
      <c r="B89" s="289"/>
      <c r="C89" s="287"/>
      <c r="D89" s="286"/>
      <c r="E89" s="272"/>
      <c r="F89" s="286"/>
      <c r="G89" s="286"/>
      <c r="H89" s="299"/>
      <c r="I89" s="299"/>
      <c r="J89" s="276"/>
      <c r="K89" s="227"/>
      <c r="L89" s="227"/>
      <c r="M89" s="228"/>
      <c r="N89" s="230"/>
      <c r="O89" s="227"/>
    </row>
    <row r="90" spans="1:15" ht="15" customHeight="1">
      <c r="A90" s="273" t="str">
        <f t="shared" si="1"/>
        <v/>
      </c>
      <c r="B90" s="289"/>
      <c r="C90" s="287"/>
      <c r="D90" s="286"/>
      <c r="E90" s="272"/>
      <c r="F90" s="286"/>
      <c r="G90" s="286"/>
      <c r="H90" s="299"/>
      <c r="I90" s="299"/>
      <c r="J90" s="276"/>
      <c r="K90" s="227"/>
      <c r="L90" s="227"/>
      <c r="M90" s="228"/>
      <c r="N90" s="230"/>
      <c r="O90" s="227"/>
    </row>
    <row r="91" spans="1:15" ht="15" customHeight="1">
      <c r="A91" s="273" t="str">
        <f t="shared" si="1"/>
        <v/>
      </c>
      <c r="B91" s="289"/>
      <c r="C91" s="271"/>
      <c r="D91" s="286"/>
      <c r="E91" s="272"/>
      <c r="F91" s="286"/>
      <c r="G91" s="286"/>
      <c r="H91" s="299"/>
      <c r="I91" s="299"/>
      <c r="J91" s="298"/>
      <c r="M91" s="229"/>
      <c r="N91" s="231"/>
    </row>
    <row r="92" spans="1:15" ht="15" customHeight="1">
      <c r="A92" s="273" t="str">
        <f t="shared" si="1"/>
        <v/>
      </c>
      <c r="B92" s="289"/>
      <c r="C92" s="271"/>
      <c r="D92" s="286"/>
      <c r="E92" s="272"/>
      <c r="F92" s="286"/>
      <c r="G92" s="286"/>
      <c r="H92" s="299"/>
      <c r="I92" s="299"/>
      <c r="J92" s="298"/>
      <c r="M92" s="229"/>
      <c r="N92" s="231"/>
    </row>
    <row r="93" spans="1:15" ht="15" customHeight="1">
      <c r="A93" s="273" t="str">
        <f t="shared" si="1"/>
        <v/>
      </c>
      <c r="B93" s="289"/>
      <c r="C93" s="271"/>
      <c r="D93" s="286"/>
      <c r="E93" s="272"/>
      <c r="F93" s="286"/>
      <c r="G93" s="286"/>
      <c r="H93" s="299"/>
      <c r="I93" s="299"/>
      <c r="J93" s="298"/>
      <c r="M93" s="229"/>
      <c r="N93" s="231"/>
    </row>
    <row r="94" spans="1:15" ht="15" customHeight="1">
      <c r="A94" s="273" t="str">
        <f t="shared" si="1"/>
        <v/>
      </c>
      <c r="B94" s="289"/>
      <c r="C94" s="271"/>
      <c r="D94" s="286"/>
      <c r="E94" s="272"/>
      <c r="F94" s="286"/>
      <c r="G94" s="286"/>
      <c r="H94" s="299"/>
      <c r="I94" s="299"/>
      <c r="J94" s="298"/>
      <c r="M94" s="229"/>
      <c r="N94" s="231"/>
    </row>
    <row r="95" spans="1:15" ht="15" customHeight="1">
      <c r="A95" s="273" t="str">
        <f t="shared" si="1"/>
        <v/>
      </c>
      <c r="B95" s="289"/>
      <c r="C95" s="271"/>
      <c r="D95" s="286"/>
      <c r="E95" s="272"/>
      <c r="F95" s="286"/>
      <c r="G95" s="286"/>
      <c r="H95" s="299"/>
      <c r="I95" s="299"/>
      <c r="J95" s="298"/>
      <c r="M95" s="229"/>
      <c r="N95" s="231"/>
    </row>
    <row r="96" spans="1:15" ht="15" customHeight="1">
      <c r="A96" s="273" t="str">
        <f t="shared" si="1"/>
        <v/>
      </c>
      <c r="B96" s="290"/>
      <c r="C96" s="286"/>
      <c r="D96" s="286"/>
      <c r="E96" s="272"/>
      <c r="F96" s="286"/>
      <c r="G96" s="286"/>
      <c r="H96" s="299"/>
      <c r="I96" s="299"/>
      <c r="J96" s="298"/>
      <c r="M96" s="229"/>
      <c r="N96" s="231"/>
    </row>
    <row r="97" spans="1:14" ht="15" customHeight="1">
      <c r="A97" s="273" t="str">
        <f t="shared" si="1"/>
        <v/>
      </c>
      <c r="B97" s="290"/>
      <c r="C97" s="286"/>
      <c r="D97" s="286"/>
      <c r="E97" s="272"/>
      <c r="F97" s="286"/>
      <c r="G97" s="286"/>
      <c r="H97" s="299"/>
      <c r="I97" s="299"/>
      <c r="J97" s="298"/>
      <c r="M97" s="229"/>
      <c r="N97" s="231"/>
    </row>
    <row r="98" spans="1:14" ht="15" customHeight="1">
      <c r="A98" s="273" t="str">
        <f t="shared" si="1"/>
        <v/>
      </c>
      <c r="B98" s="290"/>
      <c r="C98" s="286"/>
      <c r="D98" s="286"/>
      <c r="E98" s="272"/>
      <c r="F98" s="286"/>
      <c r="G98" s="286"/>
      <c r="H98" s="299"/>
      <c r="I98" s="299"/>
      <c r="J98" s="298"/>
      <c r="M98" s="229"/>
      <c r="N98" s="231"/>
    </row>
    <row r="99" spans="1:14" ht="15" customHeight="1">
      <c r="A99" s="273" t="str">
        <f t="shared" si="1"/>
        <v/>
      </c>
      <c r="B99" s="290"/>
      <c r="C99" s="286"/>
      <c r="D99" s="286"/>
      <c r="E99" s="272"/>
      <c r="F99" s="286"/>
      <c r="G99" s="286"/>
      <c r="H99" s="299"/>
      <c r="I99" s="299"/>
      <c r="J99" s="298"/>
      <c r="M99" s="229"/>
      <c r="N99" s="231"/>
    </row>
    <row r="100" spans="1:14" ht="15" customHeight="1">
      <c r="A100" s="274" t="str">
        <f t="shared" si="1"/>
        <v/>
      </c>
      <c r="B100" s="291"/>
      <c r="C100" s="288"/>
      <c r="D100" s="288"/>
      <c r="E100" s="296"/>
      <c r="F100" s="288"/>
      <c r="G100" s="288"/>
      <c r="H100" s="300"/>
      <c r="I100" s="300"/>
      <c r="J100" s="275"/>
      <c r="M100" s="229"/>
      <c r="N100" s="231"/>
    </row>
    <row r="101" spans="1:14" ht="15" customHeight="1">
      <c r="A101" s="227"/>
      <c r="H101" s="232"/>
      <c r="I101" s="232"/>
      <c r="M101" s="229"/>
      <c r="N101" s="231"/>
    </row>
    <row r="102" spans="1:14" ht="15" customHeight="1">
      <c r="A102" s="227"/>
      <c r="H102" s="232"/>
      <c r="I102" s="232"/>
      <c r="M102" s="229"/>
      <c r="N102" s="231"/>
    </row>
    <row r="103" spans="1:14" ht="15" customHeight="1">
      <c r="A103" s="227"/>
      <c r="H103" s="232"/>
      <c r="I103" s="232"/>
      <c r="M103" s="229"/>
      <c r="N103" s="231"/>
    </row>
    <row r="104" spans="1:14" ht="15" customHeight="1">
      <c r="A104" s="227"/>
      <c r="H104" s="232"/>
      <c r="I104" s="232"/>
      <c r="M104" s="229"/>
      <c r="N104" s="231"/>
    </row>
    <row r="105" spans="1:14" ht="15" customHeight="1">
      <c r="A105" s="227"/>
      <c r="H105" s="232"/>
      <c r="I105" s="232"/>
      <c r="M105" s="229"/>
      <c r="N105" s="231"/>
    </row>
    <row r="106" spans="1:14" ht="15" customHeight="1">
      <c r="A106" s="227"/>
      <c r="H106" s="232"/>
      <c r="I106" s="232"/>
      <c r="M106" s="229"/>
      <c r="N106" s="231"/>
    </row>
    <row r="107" spans="1:14" ht="15" customHeight="1">
      <c r="A107" s="227"/>
      <c r="H107" s="232"/>
      <c r="I107" s="232"/>
      <c r="M107" s="229"/>
      <c r="N107" s="231"/>
    </row>
    <row r="108" spans="1:14" ht="15" customHeight="1">
      <c r="A108" s="227"/>
      <c r="H108" s="232"/>
      <c r="I108" s="232"/>
      <c r="M108" s="229"/>
      <c r="N108" s="231"/>
    </row>
    <row r="109" spans="1:14" ht="15" customHeight="1">
      <c r="A109" s="227"/>
      <c r="H109" s="232"/>
      <c r="I109" s="232"/>
      <c r="M109" s="229"/>
      <c r="N109" s="231"/>
    </row>
    <row r="110" spans="1:14" ht="15" customHeight="1">
      <c r="A110" s="227"/>
      <c r="H110" s="232"/>
      <c r="I110" s="232"/>
      <c r="M110" s="229"/>
      <c r="N110" s="231"/>
    </row>
    <row r="111" spans="1:14" ht="15" customHeight="1">
      <c r="A111" s="227"/>
      <c r="H111" s="232"/>
      <c r="I111" s="232"/>
      <c r="M111" s="229"/>
      <c r="N111" s="231"/>
    </row>
    <row r="112" spans="1:14" ht="15" customHeight="1">
      <c r="A112" s="227"/>
      <c r="H112" s="232"/>
      <c r="I112" s="232"/>
      <c r="M112" s="229"/>
      <c r="N112" s="231"/>
    </row>
    <row r="113" spans="1:14" ht="15" customHeight="1">
      <c r="A113" s="227"/>
      <c r="H113" s="232"/>
      <c r="I113" s="232"/>
      <c r="M113" s="229"/>
      <c r="N113" s="231"/>
    </row>
    <row r="114" spans="1:14" ht="15" customHeight="1">
      <c r="A114" s="227"/>
      <c r="H114" s="232"/>
      <c r="I114" s="232"/>
      <c r="M114" s="229"/>
      <c r="N114" s="231"/>
    </row>
    <row r="115" spans="1:14" ht="15" customHeight="1">
      <c r="A115" s="227"/>
      <c r="H115" s="232"/>
      <c r="I115" s="232"/>
      <c r="M115" s="229"/>
      <c r="N115" s="231"/>
    </row>
    <row r="116" spans="1:14" ht="15" customHeight="1">
      <c r="A116" s="227"/>
      <c r="H116" s="232"/>
      <c r="I116" s="232"/>
      <c r="M116" s="229"/>
      <c r="N116" s="231"/>
    </row>
    <row r="117" spans="1:14" ht="15" customHeight="1">
      <c r="A117" s="227"/>
      <c r="H117" s="232"/>
      <c r="I117" s="232"/>
      <c r="M117" s="229"/>
      <c r="N117" s="231"/>
    </row>
    <row r="118" spans="1:14" ht="15" customHeight="1">
      <c r="A118" s="227"/>
      <c r="H118" s="232"/>
      <c r="I118" s="232"/>
      <c r="M118" s="229"/>
      <c r="N118" s="231"/>
    </row>
    <row r="119" spans="1:14" ht="15" customHeight="1">
      <c r="A119" s="227"/>
      <c r="H119" s="232"/>
      <c r="I119" s="232"/>
      <c r="M119" s="229"/>
      <c r="N119" s="231"/>
    </row>
    <row r="120" spans="1:14" ht="15" customHeight="1">
      <c r="A120" s="227"/>
      <c r="H120" s="232"/>
      <c r="I120" s="232"/>
      <c r="M120" s="229"/>
      <c r="N120" s="231"/>
    </row>
    <row r="121" spans="1:14" ht="15" customHeight="1">
      <c r="A121" s="227"/>
      <c r="H121" s="232"/>
      <c r="I121" s="232"/>
      <c r="M121" s="229"/>
      <c r="N121" s="231"/>
    </row>
    <row r="122" spans="1:14" ht="15" customHeight="1">
      <c r="A122" s="227"/>
      <c r="H122" s="232"/>
      <c r="I122" s="232"/>
      <c r="M122" s="229"/>
      <c r="N122" s="231"/>
    </row>
    <row r="123" spans="1:14" ht="15" customHeight="1">
      <c r="A123" s="227"/>
      <c r="H123" s="232"/>
      <c r="I123" s="232"/>
      <c r="M123" s="229"/>
      <c r="N123" s="231"/>
    </row>
    <row r="124" spans="1:14" ht="15" customHeight="1">
      <c r="A124" s="227"/>
      <c r="H124" s="232"/>
      <c r="I124" s="232"/>
      <c r="M124" s="229"/>
      <c r="N124" s="231"/>
    </row>
    <row r="125" spans="1:14" ht="15" customHeight="1">
      <c r="A125" s="227"/>
      <c r="H125" s="232"/>
      <c r="I125" s="232"/>
      <c r="M125" s="229"/>
      <c r="N125" s="231"/>
    </row>
    <row r="126" spans="1:14" ht="15" customHeight="1">
      <c r="A126" s="227"/>
      <c r="H126" s="232"/>
      <c r="I126" s="232"/>
      <c r="M126" s="229"/>
      <c r="N126" s="231"/>
    </row>
    <row r="127" spans="1:14" ht="15" customHeight="1">
      <c r="A127" s="227"/>
      <c r="H127" s="232"/>
      <c r="I127" s="232"/>
      <c r="M127" s="229"/>
      <c r="N127" s="231"/>
    </row>
    <row r="128" spans="1:14" ht="15" customHeight="1">
      <c r="A128" s="227"/>
      <c r="H128" s="232"/>
      <c r="I128" s="232"/>
      <c r="M128" s="229"/>
      <c r="N128" s="231"/>
    </row>
    <row r="129" spans="1:14" ht="15" customHeight="1">
      <c r="A129" s="227"/>
      <c r="H129" s="232"/>
      <c r="I129" s="232"/>
      <c r="N129" s="231"/>
    </row>
    <row r="130" spans="1:14" ht="15" customHeight="1">
      <c r="A130" s="227"/>
      <c r="H130" s="232"/>
      <c r="I130" s="232"/>
      <c r="N130" s="231"/>
    </row>
    <row r="131" spans="1:14" ht="15" customHeight="1">
      <c r="A131" s="227"/>
      <c r="H131" s="232"/>
      <c r="I131" s="232"/>
      <c r="N131" s="231"/>
    </row>
    <row r="132" spans="1:14" ht="15" customHeight="1">
      <c r="A132" s="227"/>
      <c r="H132" s="232"/>
      <c r="I132" s="232"/>
      <c r="N132" s="231"/>
    </row>
    <row r="133" spans="1:14" ht="15" customHeight="1">
      <c r="A133" s="227"/>
      <c r="H133" s="232"/>
      <c r="I133" s="232"/>
      <c r="N133" s="231"/>
    </row>
    <row r="134" spans="1:14" ht="15" customHeight="1">
      <c r="A134" s="227"/>
      <c r="H134" s="232"/>
      <c r="I134" s="232"/>
      <c r="N134" s="231"/>
    </row>
    <row r="135" spans="1:14" ht="15" customHeight="1">
      <c r="A135" s="227"/>
      <c r="H135" s="232"/>
      <c r="I135" s="232"/>
      <c r="N135" s="231"/>
    </row>
    <row r="136" spans="1:14" ht="15" customHeight="1">
      <c r="A136" s="227"/>
      <c r="H136" s="232"/>
      <c r="I136" s="232"/>
      <c r="N136" s="231"/>
    </row>
    <row r="137" spans="1:14" ht="15" customHeight="1">
      <c r="A137" s="227"/>
      <c r="H137" s="232"/>
      <c r="I137" s="232"/>
      <c r="N137" s="231"/>
    </row>
    <row r="138" spans="1:14" ht="15" customHeight="1">
      <c r="A138" s="227"/>
      <c r="H138" s="232"/>
      <c r="I138" s="232"/>
      <c r="N138" s="231"/>
    </row>
    <row r="139" spans="1:14" ht="15" customHeight="1">
      <c r="A139" s="227"/>
      <c r="H139" s="232"/>
      <c r="I139" s="232"/>
      <c r="N139" s="231"/>
    </row>
    <row r="140" spans="1:14" ht="15" customHeight="1">
      <c r="A140" s="227"/>
      <c r="H140" s="232"/>
      <c r="I140" s="232"/>
      <c r="N140" s="231"/>
    </row>
    <row r="141" spans="1:14" ht="15" customHeight="1">
      <c r="A141" s="227"/>
      <c r="H141" s="232"/>
      <c r="I141" s="232"/>
      <c r="N141" s="231"/>
    </row>
    <row r="142" spans="1:14" ht="15" customHeight="1">
      <c r="A142" s="227"/>
      <c r="H142" s="232"/>
      <c r="I142" s="232"/>
      <c r="N142" s="231"/>
    </row>
    <row r="143" spans="1:14" ht="15" customHeight="1">
      <c r="A143" s="227"/>
      <c r="H143" s="232"/>
      <c r="I143" s="232"/>
      <c r="N143" s="231"/>
    </row>
    <row r="144" spans="1:14" ht="15" customHeight="1">
      <c r="A144" s="227"/>
      <c r="H144" s="232"/>
      <c r="I144" s="232"/>
      <c r="N144" s="231"/>
    </row>
    <row r="145" spans="1:14" ht="15" customHeight="1">
      <c r="A145" s="227"/>
      <c r="H145" s="232"/>
      <c r="I145" s="232"/>
      <c r="N145" s="231"/>
    </row>
    <row r="146" spans="1:14" ht="15" customHeight="1">
      <c r="A146" s="227"/>
      <c r="H146" s="232"/>
      <c r="I146" s="232"/>
      <c r="N146" s="231"/>
    </row>
    <row r="147" spans="1:14" ht="15" customHeight="1">
      <c r="A147" s="227"/>
      <c r="H147" s="232"/>
      <c r="I147" s="232"/>
      <c r="N147" s="231"/>
    </row>
    <row r="148" spans="1:14" ht="15" customHeight="1">
      <c r="A148" s="227"/>
      <c r="H148" s="232"/>
      <c r="I148" s="232"/>
      <c r="N148" s="231"/>
    </row>
    <row r="149" spans="1:14" ht="15" customHeight="1">
      <c r="A149" s="227"/>
      <c r="H149" s="232"/>
      <c r="I149" s="232"/>
      <c r="N149" s="231"/>
    </row>
    <row r="150" spans="1:14" ht="15" customHeight="1">
      <c r="A150" s="227"/>
      <c r="H150" s="232"/>
      <c r="I150" s="232"/>
      <c r="N150" s="231"/>
    </row>
    <row r="151" spans="1:14" ht="15" customHeight="1">
      <c r="A151" s="227"/>
      <c r="H151" s="232"/>
      <c r="I151" s="232"/>
      <c r="N151" s="231"/>
    </row>
    <row r="152" spans="1:14" ht="15" customHeight="1">
      <c r="A152" s="227"/>
      <c r="H152" s="232"/>
      <c r="I152" s="232"/>
      <c r="N152" s="231"/>
    </row>
    <row r="153" spans="1:14" ht="15" customHeight="1">
      <c r="A153" s="227"/>
      <c r="H153" s="232"/>
      <c r="I153" s="232"/>
      <c r="N153" s="231"/>
    </row>
    <row r="154" spans="1:14" ht="15" customHeight="1">
      <c r="A154" s="227"/>
      <c r="H154" s="232"/>
      <c r="I154" s="232"/>
      <c r="N154" s="231"/>
    </row>
    <row r="155" spans="1:14" ht="15" customHeight="1">
      <c r="A155" s="227"/>
      <c r="H155" s="232"/>
      <c r="I155" s="232"/>
      <c r="N155" s="231"/>
    </row>
    <row r="156" spans="1:14" ht="15" customHeight="1">
      <c r="A156" s="227"/>
      <c r="H156" s="232"/>
      <c r="I156" s="232"/>
      <c r="N156" s="231"/>
    </row>
    <row r="157" spans="1:14" ht="15" customHeight="1">
      <c r="A157" s="227"/>
      <c r="H157" s="232"/>
      <c r="I157" s="232"/>
      <c r="N157" s="231"/>
    </row>
    <row r="158" spans="1:14" ht="15" customHeight="1">
      <c r="A158" s="227"/>
      <c r="H158" s="232"/>
      <c r="I158" s="232"/>
      <c r="N158" s="231"/>
    </row>
    <row r="159" spans="1:14" ht="15" customHeight="1">
      <c r="A159" s="227"/>
      <c r="H159" s="232"/>
      <c r="I159" s="232"/>
      <c r="N159" s="231"/>
    </row>
    <row r="160" spans="1:14" ht="15" customHeight="1">
      <c r="A160" s="227"/>
      <c r="H160" s="232"/>
      <c r="I160" s="232"/>
      <c r="N160" s="231"/>
    </row>
    <row r="161" spans="1:14" ht="15" customHeight="1">
      <c r="A161" s="227"/>
      <c r="H161" s="232"/>
      <c r="I161" s="232"/>
      <c r="N161" s="231"/>
    </row>
    <row r="162" spans="1:14" ht="15" customHeight="1">
      <c r="A162" s="227"/>
      <c r="H162" s="232"/>
      <c r="I162" s="232"/>
      <c r="N162" s="231"/>
    </row>
    <row r="163" spans="1:14" ht="15" customHeight="1">
      <c r="A163" s="227"/>
      <c r="H163" s="232"/>
      <c r="I163" s="232"/>
      <c r="N163" s="231"/>
    </row>
    <row r="164" spans="1:14" ht="15" customHeight="1">
      <c r="A164" s="227"/>
      <c r="H164" s="232"/>
      <c r="I164" s="232"/>
      <c r="N164" s="231"/>
    </row>
    <row r="165" spans="1:14" ht="15" customHeight="1">
      <c r="A165" s="227"/>
      <c r="H165" s="232"/>
      <c r="I165" s="232"/>
      <c r="N165" s="231"/>
    </row>
    <row r="166" spans="1:14" ht="15" customHeight="1">
      <c r="A166" s="227"/>
      <c r="H166" s="232"/>
      <c r="I166" s="232"/>
      <c r="N166" s="231"/>
    </row>
    <row r="167" spans="1:14" ht="15" customHeight="1">
      <c r="A167" s="227"/>
      <c r="H167" s="232"/>
      <c r="I167" s="232"/>
      <c r="N167" s="231"/>
    </row>
    <row r="168" spans="1:14" ht="15" customHeight="1">
      <c r="A168" s="227"/>
      <c r="H168" s="232"/>
      <c r="I168" s="232"/>
    </row>
    <row r="169" spans="1:14" ht="15" customHeight="1">
      <c r="A169" s="227"/>
      <c r="H169" s="232"/>
      <c r="I169" s="232"/>
    </row>
    <row r="170" spans="1:14" ht="15" customHeight="1">
      <c r="A170" s="227"/>
      <c r="H170" s="232"/>
      <c r="I170" s="232"/>
    </row>
    <row r="171" spans="1:14" ht="15" customHeight="1">
      <c r="A171" s="227"/>
      <c r="H171" s="232"/>
      <c r="I171" s="232"/>
    </row>
    <row r="172" spans="1:14" ht="15" customHeight="1">
      <c r="A172" s="227"/>
      <c r="H172" s="232"/>
      <c r="I172" s="232"/>
    </row>
    <row r="173" spans="1:14" ht="15" customHeight="1">
      <c r="A173" s="227"/>
      <c r="H173" s="232"/>
      <c r="I173" s="232"/>
    </row>
    <row r="174" spans="1:14" ht="15" customHeight="1">
      <c r="A174" s="227"/>
      <c r="H174" s="232"/>
      <c r="I174" s="232"/>
    </row>
    <row r="175" spans="1:14" ht="15" customHeight="1">
      <c r="A175" s="227"/>
      <c r="H175" s="232"/>
      <c r="I175" s="232"/>
    </row>
    <row r="176" spans="1:14" ht="15" customHeight="1">
      <c r="A176" s="227"/>
      <c r="H176" s="232"/>
      <c r="I176" s="232"/>
    </row>
    <row r="177" spans="1:9" ht="15" customHeight="1">
      <c r="A177" s="227"/>
      <c r="H177" s="232"/>
      <c r="I177" s="232"/>
    </row>
    <row r="178" spans="1:9" ht="15" customHeight="1">
      <c r="A178" s="227"/>
      <c r="H178" s="232"/>
      <c r="I178" s="232"/>
    </row>
    <row r="179" spans="1:9" ht="15" customHeight="1">
      <c r="A179" s="227"/>
      <c r="H179" s="232"/>
      <c r="I179" s="232"/>
    </row>
    <row r="180" spans="1:9" ht="15" customHeight="1">
      <c r="A180" s="227"/>
      <c r="H180" s="232"/>
      <c r="I180" s="232"/>
    </row>
    <row r="181" spans="1:9" ht="15" customHeight="1">
      <c r="A181" s="227"/>
      <c r="H181" s="232"/>
      <c r="I181" s="232"/>
    </row>
    <row r="182" spans="1:9" ht="15" customHeight="1">
      <c r="A182" s="227"/>
      <c r="H182" s="232"/>
      <c r="I182" s="232"/>
    </row>
    <row r="183" spans="1:9" ht="15" customHeight="1">
      <c r="A183" s="227"/>
      <c r="H183" s="232"/>
      <c r="I183" s="232"/>
    </row>
    <row r="184" spans="1:9" ht="15" customHeight="1">
      <c r="A184" s="227"/>
      <c r="H184" s="232"/>
      <c r="I184" s="232"/>
    </row>
    <row r="185" spans="1:9" ht="15" customHeight="1">
      <c r="A185" s="227"/>
      <c r="H185" s="232"/>
      <c r="I185" s="232"/>
    </row>
    <row r="186" spans="1:9" ht="15" customHeight="1">
      <c r="A186" s="227"/>
      <c r="H186" s="232"/>
      <c r="I186" s="232"/>
    </row>
    <row r="187" spans="1:9" ht="15" customHeight="1">
      <c r="A187" s="227"/>
      <c r="H187" s="232"/>
      <c r="I187" s="232"/>
    </row>
    <row r="188" spans="1:9" ht="15" customHeight="1">
      <c r="A188" s="227"/>
      <c r="H188" s="232"/>
      <c r="I188" s="232"/>
    </row>
    <row r="189" spans="1:9" ht="15" customHeight="1">
      <c r="A189" s="227"/>
      <c r="H189" s="232"/>
      <c r="I189" s="232"/>
    </row>
    <row r="190" spans="1:9" ht="15" customHeight="1">
      <c r="A190" s="227"/>
      <c r="H190" s="232"/>
      <c r="I190" s="232"/>
    </row>
    <row r="191" spans="1:9" ht="15" customHeight="1">
      <c r="A191" s="227"/>
      <c r="H191" s="232"/>
      <c r="I191" s="232"/>
    </row>
    <row r="192" spans="1:9" ht="15" customHeight="1">
      <c r="A192" s="227"/>
      <c r="H192" s="232"/>
      <c r="I192" s="232"/>
    </row>
    <row r="193" spans="1:9" ht="15" customHeight="1">
      <c r="A193" s="227"/>
      <c r="H193" s="232"/>
      <c r="I193" s="232"/>
    </row>
    <row r="194" spans="1:9" ht="15" customHeight="1">
      <c r="A194" s="227"/>
      <c r="H194" s="232"/>
      <c r="I194" s="232"/>
    </row>
    <row r="195" spans="1:9" ht="15" customHeight="1">
      <c r="A195" s="227"/>
      <c r="H195" s="232"/>
      <c r="I195" s="232"/>
    </row>
    <row r="196" spans="1:9" ht="15" customHeight="1">
      <c r="A196" s="227"/>
      <c r="H196" s="232"/>
      <c r="I196" s="232"/>
    </row>
    <row r="197" spans="1:9" ht="15" customHeight="1">
      <c r="A197" s="227"/>
      <c r="H197" s="232"/>
      <c r="I197" s="232"/>
    </row>
    <row r="198" spans="1:9" ht="15" customHeight="1">
      <c r="A198" s="227"/>
      <c r="H198" s="232"/>
      <c r="I198" s="232"/>
    </row>
    <row r="199" spans="1:9" ht="15" customHeight="1">
      <c r="A199" s="227"/>
      <c r="H199" s="232"/>
      <c r="I199" s="232"/>
    </row>
    <row r="200" spans="1:9" ht="15" customHeight="1">
      <c r="A200" s="227"/>
      <c r="H200" s="232"/>
      <c r="I200" s="232"/>
    </row>
    <row r="201" spans="1:9" ht="15" customHeight="1">
      <c r="A201" s="227"/>
      <c r="H201" s="232"/>
      <c r="I201" s="232"/>
    </row>
    <row r="202" spans="1:9" ht="15" customHeight="1">
      <c r="A202" s="227"/>
      <c r="H202" s="232"/>
      <c r="I202" s="232"/>
    </row>
    <row r="203" spans="1:9" ht="15" customHeight="1">
      <c r="A203" s="227"/>
      <c r="H203" s="232"/>
      <c r="I203" s="232"/>
    </row>
    <row r="204" spans="1:9" ht="15" customHeight="1">
      <c r="A204" s="227"/>
      <c r="H204" s="232"/>
      <c r="I204" s="232"/>
    </row>
  </sheetData>
  <mergeCells count="1">
    <mergeCell ref="B6:C6"/>
  </mergeCells>
  <hyperlinks>
    <hyperlink ref="F14" r:id="rId1" xr:uid="{00000000-0004-0000-0E00-000000000000}"/>
    <hyperlink ref="G14" r:id="rId2" xr:uid="{00000000-0004-0000-0E00-000001000000}"/>
    <hyperlink ref="E15" r:id="rId3" display=" $                         81.78 " xr:uid="{00000000-0004-0000-0E00-000002000000}"/>
    <hyperlink ref="G16" r:id="rId4" xr:uid="{00000000-0004-0000-0E00-000003000000}"/>
    <hyperlink ref="G17" r:id="rId5" xr:uid="{00000000-0004-0000-0E00-000004000000}"/>
  </hyperlinks>
  <pageMargins left="0" right="0" top="0" bottom="0" header="0" footer="0"/>
  <pageSetup orientation="portrait" horizontalDpi="0" verticalDpi="0" r:id="rId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2:O204"/>
  <sheetViews>
    <sheetView topLeftCell="E1" workbookViewId="0">
      <pane ySplit="13" topLeftCell="A14" activePane="bottomLeft" state="frozen"/>
      <selection pane="bottomLeft" activeCell="A14" sqref="A14"/>
      <selection activeCell="D1" sqref="D1"/>
    </sheetView>
  </sheetViews>
  <sheetFormatPr defaultColWidth="14.42578125" defaultRowHeight="15" customHeight="1"/>
  <cols>
    <col min="1" max="1" width="9.140625" customWidth="1"/>
    <col min="2" max="2" width="21" customWidth="1"/>
    <col min="3" max="3" width="29.7109375" customWidth="1"/>
    <col min="4" max="4" width="35.7109375" customWidth="1"/>
    <col min="5" max="5" width="18.85546875" customWidth="1"/>
    <col min="6" max="7" width="16.140625" customWidth="1"/>
    <col min="8" max="8" width="14.5703125" customWidth="1"/>
    <col min="9" max="9" width="15.7109375" customWidth="1"/>
    <col min="10" max="10" width="16" customWidth="1"/>
    <col min="11" max="11" width="24.5703125" bestFit="1" customWidth="1"/>
    <col min="12" max="12" width="19.28515625" customWidth="1"/>
    <col min="13" max="13" width="19.5703125" customWidth="1"/>
    <col min="14" max="14" width="9.140625"/>
    <col min="15" max="15" width="17.7109375" customWidth="1"/>
    <col min="16" max="16" width="16" bestFit="1" customWidth="1"/>
    <col min="17" max="17" width="26.28515625" bestFit="1" customWidth="1"/>
    <col min="18" max="18" width="4.28515625" customWidth="1"/>
    <col min="19" max="19" width="26.140625" bestFit="1" customWidth="1"/>
  </cols>
  <sheetData>
    <row r="2" spans="1:11" ht="23.25" customHeight="1">
      <c r="B2" s="282" t="s">
        <v>442</v>
      </c>
      <c r="C2" s="279">
        <f>129.94+758.52</f>
        <v>888.46</v>
      </c>
    </row>
    <row r="3" spans="1:11" ht="15" customHeight="1">
      <c r="B3" s="256"/>
    </row>
    <row r="4" spans="1:11" ht="27.75" customHeight="1">
      <c r="A4" s="111"/>
      <c r="B4" s="283" t="s">
        <v>443</v>
      </c>
      <c r="C4" s="279">
        <f>SUM($E$14:$E$103)+C2</f>
        <v>9873.9800000000032</v>
      </c>
    </row>
    <row r="5" spans="1:11">
      <c r="A5" s="111"/>
      <c r="B5" s="160"/>
    </row>
    <row r="6" spans="1:11" ht="24" customHeight="1">
      <c r="A6" s="111"/>
      <c r="B6" s="453" t="s">
        <v>444</v>
      </c>
      <c r="C6" s="454"/>
      <c r="E6" s="253"/>
    </row>
    <row r="7" spans="1:11" ht="24" customHeight="1">
      <c r="A7" s="111"/>
      <c r="B7" s="280" t="s">
        <v>445</v>
      </c>
      <c r="C7" s="281">
        <f>SUM($H$14:$H$103)</f>
        <v>5471.01</v>
      </c>
      <c r="E7" s="332"/>
    </row>
    <row r="8" spans="1:11" ht="24" customHeight="1">
      <c r="A8" s="111"/>
      <c r="B8" s="277" t="s">
        <v>446</v>
      </c>
      <c r="C8" s="276">
        <f>SUM($I$14:$I$103)</f>
        <v>0</v>
      </c>
      <c r="E8" s="333"/>
    </row>
    <row r="9" spans="1:11" ht="24" customHeight="1">
      <c r="A9" s="111"/>
      <c r="B9" s="277" t="s">
        <v>447</v>
      </c>
      <c r="C9" s="276">
        <f>SUM($J$14:$J$103)</f>
        <v>0</v>
      </c>
    </row>
    <row r="10" spans="1:11" ht="24" customHeight="1">
      <c r="A10" s="111"/>
      <c r="B10" s="278" t="s">
        <v>448</v>
      </c>
      <c r="C10" s="285">
        <f>SUM(C7:C9)</f>
        <v>5471.01</v>
      </c>
    </row>
    <row r="11" spans="1:11" ht="24" customHeight="1">
      <c r="A11" s="111"/>
      <c r="B11" s="284" t="s">
        <v>449</v>
      </c>
      <c r="C11" s="301">
        <f>C4-C10</f>
        <v>4402.970000000003</v>
      </c>
    </row>
    <row r="12" spans="1:11">
      <c r="A12" s="111"/>
    </row>
    <row r="13" spans="1:11" ht="36.75" customHeight="1">
      <c r="A13" s="302" t="s">
        <v>15</v>
      </c>
      <c r="B13" s="303" t="s">
        <v>118</v>
      </c>
      <c r="C13" s="303" t="s">
        <v>221</v>
      </c>
      <c r="D13" s="304" t="s">
        <v>450</v>
      </c>
      <c r="E13" s="303" t="s">
        <v>410</v>
      </c>
      <c r="F13" s="303" t="s">
        <v>451</v>
      </c>
      <c r="G13" s="303" t="s">
        <v>452</v>
      </c>
      <c r="H13" s="303" t="s">
        <v>453</v>
      </c>
      <c r="I13" s="303" t="s">
        <v>446</v>
      </c>
      <c r="J13" s="305" t="s">
        <v>454</v>
      </c>
      <c r="K13" s="325" t="s">
        <v>18</v>
      </c>
    </row>
    <row r="14" spans="1:11" ht="15" customHeight="1">
      <c r="A14" s="292">
        <f>IF(D14="","",ROW()-13)</f>
        <v>1</v>
      </c>
      <c r="B14" s="293">
        <v>45053</v>
      </c>
      <c r="C14" s="294"/>
      <c r="D14" s="294" t="s">
        <v>455</v>
      </c>
      <c r="E14" s="295"/>
      <c r="F14" s="306" t="s">
        <v>230</v>
      </c>
      <c r="G14" s="307" t="s">
        <v>456</v>
      </c>
      <c r="H14" s="295">
        <v>0</v>
      </c>
      <c r="I14" s="295"/>
      <c r="J14" s="320"/>
      <c r="K14" s="326"/>
    </row>
    <row r="15" spans="1:11" ht="15" customHeight="1">
      <c r="A15" s="273">
        <f>IF(D15="","",ROW()-13)</f>
        <v>2</v>
      </c>
      <c r="B15" s="290">
        <v>45128</v>
      </c>
      <c r="C15" s="286" t="s">
        <v>457</v>
      </c>
      <c r="D15" s="309" t="s">
        <v>458</v>
      </c>
      <c r="E15" s="308">
        <v>81.78</v>
      </c>
      <c r="F15" s="286"/>
      <c r="G15" s="286"/>
      <c r="H15" s="272"/>
      <c r="I15" s="272"/>
      <c r="J15" s="321"/>
      <c r="K15" s="327"/>
    </row>
    <row r="16" spans="1:11" ht="15" customHeight="1">
      <c r="A16" s="273">
        <f t="shared" ref="A16:A79" si="0">IF(D16="","",ROW()-13)</f>
        <v>3</v>
      </c>
      <c r="B16" s="290">
        <v>45139</v>
      </c>
      <c r="C16" s="286" t="s">
        <v>459</v>
      </c>
      <c r="D16" s="286" t="s">
        <v>460</v>
      </c>
      <c r="E16" s="272"/>
      <c r="F16" s="286"/>
      <c r="G16" s="311" t="s">
        <v>456</v>
      </c>
      <c r="H16" s="310">
        <v>417.6</v>
      </c>
      <c r="I16" s="272"/>
      <c r="J16" s="321"/>
      <c r="K16" s="327"/>
    </row>
    <row r="17" spans="1:15" ht="15" customHeight="1">
      <c r="A17" s="273">
        <f t="shared" si="0"/>
        <v>4</v>
      </c>
      <c r="B17" s="290">
        <v>45155</v>
      </c>
      <c r="C17" s="286"/>
      <c r="D17" s="286" t="s">
        <v>461</v>
      </c>
      <c r="E17" s="272"/>
      <c r="F17" s="286"/>
      <c r="G17" s="312" t="s">
        <v>456</v>
      </c>
      <c r="H17" s="272">
        <v>52</v>
      </c>
      <c r="I17" s="272"/>
      <c r="J17" s="321"/>
      <c r="K17" s="327"/>
    </row>
    <row r="18" spans="1:15" ht="15" customHeight="1">
      <c r="A18" s="273">
        <f t="shared" si="0"/>
        <v>5</v>
      </c>
      <c r="B18" s="289"/>
      <c r="C18" s="287" t="s">
        <v>370</v>
      </c>
      <c r="D18" s="286" t="s">
        <v>462</v>
      </c>
      <c r="E18" s="313">
        <v>116</v>
      </c>
      <c r="F18" s="286"/>
      <c r="G18" s="286"/>
      <c r="H18" s="299"/>
      <c r="I18" s="299"/>
      <c r="J18" s="322"/>
      <c r="K18" s="328"/>
      <c r="L18" s="227"/>
      <c r="M18" s="228"/>
      <c r="N18" s="230"/>
      <c r="O18" s="227"/>
    </row>
    <row r="19" spans="1:15" ht="15" customHeight="1">
      <c r="A19" s="273">
        <f t="shared" si="0"/>
        <v>6</v>
      </c>
      <c r="B19" s="289"/>
      <c r="C19" s="287" t="s">
        <v>463</v>
      </c>
      <c r="D19" s="286" t="s">
        <v>464</v>
      </c>
      <c r="E19" s="313">
        <v>644</v>
      </c>
      <c r="F19" s="286"/>
      <c r="G19" s="286"/>
      <c r="H19" s="299"/>
      <c r="I19" s="299"/>
      <c r="J19" s="322"/>
      <c r="K19" s="328"/>
      <c r="L19" s="227"/>
      <c r="M19" s="228"/>
      <c r="N19" s="230"/>
      <c r="O19" s="227"/>
    </row>
    <row r="20" spans="1:15" ht="15" customHeight="1">
      <c r="A20" s="273" t="str">
        <f t="shared" si="0"/>
        <v/>
      </c>
      <c r="B20" s="289"/>
      <c r="C20" s="287" t="s">
        <v>465</v>
      </c>
      <c r="D20" s="286"/>
      <c r="E20" s="314">
        <v>4003.05</v>
      </c>
      <c r="F20" s="286"/>
      <c r="G20" s="286"/>
      <c r="H20" s="299"/>
      <c r="I20" s="299"/>
      <c r="J20" s="322"/>
      <c r="K20" s="328"/>
      <c r="L20" s="227"/>
      <c r="M20" s="228"/>
      <c r="N20" s="230"/>
      <c r="O20" s="227"/>
    </row>
    <row r="21" spans="1:15" ht="15" customHeight="1">
      <c r="A21" s="273" t="str">
        <f t="shared" si="0"/>
        <v/>
      </c>
      <c r="B21" s="289"/>
      <c r="C21" s="287"/>
      <c r="D21" s="286"/>
      <c r="E21" s="272"/>
      <c r="F21" s="286"/>
      <c r="G21" s="286"/>
      <c r="H21" s="299">
        <v>136.51</v>
      </c>
      <c r="I21" s="299"/>
      <c r="J21" s="322"/>
      <c r="K21" s="328"/>
      <c r="L21" s="227"/>
      <c r="M21" s="228"/>
      <c r="N21" s="230"/>
      <c r="O21" s="227"/>
    </row>
    <row r="22" spans="1:15" ht="15" customHeight="1">
      <c r="A22" s="273" t="str">
        <f t="shared" si="0"/>
        <v/>
      </c>
      <c r="B22" s="289"/>
      <c r="C22" s="287" t="s">
        <v>466</v>
      </c>
      <c r="D22" s="286"/>
      <c r="E22" s="314">
        <v>697.58</v>
      </c>
      <c r="F22" s="286"/>
      <c r="G22" s="286"/>
      <c r="H22" s="299"/>
      <c r="I22" s="299"/>
      <c r="J22" s="322"/>
      <c r="K22" s="328"/>
      <c r="L22" s="227"/>
      <c r="M22" s="228"/>
      <c r="N22" s="230"/>
      <c r="O22" s="227"/>
    </row>
    <row r="23" spans="1:15" ht="15" customHeight="1">
      <c r="A23" s="273" t="str">
        <f t="shared" si="0"/>
        <v/>
      </c>
      <c r="B23" s="289"/>
      <c r="C23" s="287" t="s">
        <v>467</v>
      </c>
      <c r="D23" s="286"/>
      <c r="E23" s="272"/>
      <c r="F23" s="311" t="s">
        <v>230</v>
      </c>
      <c r="G23" s="315" t="s">
        <v>456</v>
      </c>
      <c r="H23" s="335">
        <v>759.2</v>
      </c>
      <c r="I23" s="299"/>
      <c r="J23" s="322"/>
      <c r="K23" s="328"/>
      <c r="L23" s="227"/>
      <c r="M23" s="228"/>
      <c r="N23" s="230"/>
      <c r="O23" s="227"/>
    </row>
    <row r="24" spans="1:15" ht="15" customHeight="1">
      <c r="A24" s="273" t="str">
        <f t="shared" si="0"/>
        <v/>
      </c>
      <c r="B24" s="289"/>
      <c r="C24" s="287" t="s">
        <v>467</v>
      </c>
      <c r="D24" s="286"/>
      <c r="E24" s="272"/>
      <c r="F24" s="286"/>
      <c r="G24" s="311" t="s">
        <v>456</v>
      </c>
      <c r="H24" s="331">
        <v>85.39</v>
      </c>
      <c r="I24" s="299"/>
      <c r="J24" s="322"/>
      <c r="K24" s="330" t="s">
        <v>468</v>
      </c>
      <c r="L24" s="227"/>
      <c r="M24" s="228"/>
      <c r="N24" s="230"/>
      <c r="O24" s="227"/>
    </row>
    <row r="25" spans="1:15" ht="15" customHeight="1">
      <c r="A25" s="273" t="str">
        <f t="shared" si="0"/>
        <v/>
      </c>
      <c r="B25" s="316"/>
      <c r="C25" s="317" t="s">
        <v>469</v>
      </c>
      <c r="D25" s="318"/>
      <c r="E25" s="336">
        <v>147.88</v>
      </c>
      <c r="F25" s="318"/>
      <c r="G25" s="318"/>
      <c r="H25" s="319"/>
      <c r="I25" s="319"/>
      <c r="J25" s="323"/>
      <c r="K25" s="328"/>
      <c r="L25" s="227"/>
      <c r="M25" s="228"/>
      <c r="N25" s="230"/>
      <c r="O25" s="227"/>
    </row>
    <row r="26" spans="1:15" ht="15" customHeight="1">
      <c r="A26" s="273" t="str">
        <f t="shared" si="0"/>
        <v/>
      </c>
      <c r="B26" s="316"/>
      <c r="C26" s="317" t="s">
        <v>469</v>
      </c>
      <c r="D26" s="318"/>
      <c r="E26" s="336">
        <v>85.39</v>
      </c>
      <c r="F26" s="318"/>
      <c r="G26" s="318"/>
      <c r="H26" s="319"/>
      <c r="I26" s="319"/>
      <c r="J26" s="323"/>
      <c r="K26" s="328"/>
      <c r="L26" s="227"/>
      <c r="M26" s="228"/>
      <c r="N26" s="230"/>
      <c r="O26" s="227"/>
    </row>
    <row r="27" spans="1:15" ht="15" customHeight="1">
      <c r="A27" s="273" t="str">
        <f t="shared" si="0"/>
        <v/>
      </c>
      <c r="B27" s="289"/>
      <c r="C27" s="287" t="s">
        <v>470</v>
      </c>
      <c r="D27" s="286"/>
      <c r="E27" s="272"/>
      <c r="F27" s="311" t="s">
        <v>230</v>
      </c>
      <c r="G27" s="311" t="s">
        <v>456</v>
      </c>
      <c r="H27" s="331">
        <v>830.86</v>
      </c>
      <c r="I27" s="299"/>
      <c r="J27" s="322"/>
      <c r="K27" s="328"/>
      <c r="L27" s="227"/>
      <c r="M27" s="228"/>
      <c r="N27" s="230"/>
      <c r="O27" s="227"/>
    </row>
    <row r="28" spans="1:15" ht="15" customHeight="1">
      <c r="A28" s="273" t="str">
        <f t="shared" si="0"/>
        <v/>
      </c>
      <c r="B28" s="289"/>
      <c r="C28" s="287" t="s">
        <v>471</v>
      </c>
      <c r="D28" s="286"/>
      <c r="E28" s="272"/>
      <c r="F28" s="311" t="s">
        <v>230</v>
      </c>
      <c r="G28" s="311" t="s">
        <v>456</v>
      </c>
      <c r="H28" s="299">
        <v>364</v>
      </c>
      <c r="I28" s="299"/>
      <c r="J28" s="322"/>
      <c r="K28" s="328"/>
      <c r="L28" s="227"/>
      <c r="M28" s="228"/>
      <c r="N28" s="230"/>
      <c r="O28" s="227"/>
    </row>
    <row r="29" spans="1:15" ht="15" customHeight="1">
      <c r="A29" s="273" t="str">
        <f t="shared" si="0"/>
        <v/>
      </c>
      <c r="B29" s="289"/>
      <c r="C29" s="334" t="s">
        <v>472</v>
      </c>
      <c r="D29" s="286"/>
      <c r="E29" s="308">
        <v>276.69</v>
      </c>
      <c r="F29" s="286"/>
      <c r="G29" s="286"/>
      <c r="H29" s="299"/>
      <c r="I29" s="299"/>
      <c r="J29" s="322"/>
      <c r="K29" s="328"/>
      <c r="L29" s="227"/>
      <c r="M29" s="228"/>
      <c r="N29" s="230"/>
      <c r="O29" s="227"/>
    </row>
    <row r="30" spans="1:15" ht="15" customHeight="1">
      <c r="A30" s="273" t="str">
        <f t="shared" si="0"/>
        <v/>
      </c>
      <c r="B30" s="289"/>
      <c r="C30" s="334"/>
      <c r="D30" s="286"/>
      <c r="E30" s="272"/>
      <c r="F30" s="311" t="s">
        <v>230</v>
      </c>
      <c r="G30" s="337"/>
      <c r="H30" s="331">
        <v>95.5</v>
      </c>
      <c r="I30" s="299"/>
      <c r="J30" s="322"/>
      <c r="K30" s="328"/>
      <c r="L30" s="227"/>
      <c r="M30" s="228"/>
      <c r="N30" s="230"/>
      <c r="O30" s="227"/>
    </row>
    <row r="31" spans="1:15" ht="15" customHeight="1">
      <c r="A31" s="273" t="str">
        <f t="shared" si="0"/>
        <v/>
      </c>
      <c r="B31" s="289"/>
      <c r="C31" s="334" t="s">
        <v>473</v>
      </c>
      <c r="D31" s="286"/>
      <c r="E31" s="272"/>
      <c r="F31" s="311" t="s">
        <v>230</v>
      </c>
      <c r="G31" s="311" t="s">
        <v>456</v>
      </c>
      <c r="H31" s="331">
        <v>2713.95</v>
      </c>
      <c r="I31" s="299"/>
      <c r="J31" s="322"/>
      <c r="K31" s="328"/>
      <c r="L31" s="227"/>
      <c r="M31" s="228"/>
      <c r="N31" s="230"/>
      <c r="O31" s="227"/>
    </row>
    <row r="32" spans="1:15" ht="15" customHeight="1">
      <c r="A32" s="273" t="str">
        <f t="shared" si="0"/>
        <v/>
      </c>
      <c r="B32" s="289"/>
      <c r="C32" s="287" t="s">
        <v>474</v>
      </c>
      <c r="D32" s="286"/>
      <c r="E32" s="308">
        <v>147.88</v>
      </c>
      <c r="F32" s="286"/>
      <c r="G32" s="286"/>
      <c r="H32" s="299"/>
      <c r="I32" s="299"/>
      <c r="J32" s="322"/>
      <c r="K32" s="328"/>
      <c r="L32" s="227"/>
      <c r="M32" s="228"/>
      <c r="N32" s="230"/>
      <c r="O32" s="227"/>
    </row>
    <row r="33" spans="1:15" ht="15" customHeight="1">
      <c r="A33" s="273" t="str">
        <f t="shared" si="0"/>
        <v/>
      </c>
      <c r="B33" s="289"/>
      <c r="C33" s="287" t="s">
        <v>475</v>
      </c>
      <c r="D33" s="286"/>
      <c r="E33" s="308">
        <v>25.51</v>
      </c>
      <c r="F33" s="286"/>
      <c r="G33" s="286"/>
      <c r="H33" s="299"/>
      <c r="I33" s="299"/>
      <c r="J33" s="322"/>
      <c r="K33" s="328"/>
      <c r="L33" s="227"/>
      <c r="M33" s="228"/>
      <c r="N33" s="230"/>
      <c r="O33" s="227"/>
    </row>
    <row r="34" spans="1:15" ht="15" customHeight="1">
      <c r="A34" s="273" t="str">
        <f t="shared" si="0"/>
        <v/>
      </c>
      <c r="B34" s="289"/>
      <c r="C34" s="287" t="s">
        <v>476</v>
      </c>
      <c r="D34" s="286"/>
      <c r="E34" s="272"/>
      <c r="F34" s="311" t="s">
        <v>230</v>
      </c>
      <c r="G34" s="311" t="s">
        <v>456</v>
      </c>
      <c r="H34" s="331">
        <v>16</v>
      </c>
      <c r="I34" s="299"/>
      <c r="J34" s="322"/>
      <c r="K34" s="328"/>
      <c r="L34" s="227"/>
      <c r="M34" s="228"/>
      <c r="N34" s="230"/>
      <c r="O34" s="227"/>
    </row>
    <row r="35" spans="1:15" ht="15" customHeight="1">
      <c r="A35" s="273" t="str">
        <f t="shared" si="0"/>
        <v/>
      </c>
      <c r="B35" s="289"/>
      <c r="C35" s="287" t="s">
        <v>477</v>
      </c>
      <c r="D35" s="286"/>
      <c r="E35" s="339">
        <v>443.3</v>
      </c>
      <c r="F35" s="286"/>
      <c r="G35" s="286"/>
      <c r="H35" s="299"/>
      <c r="I35" s="299"/>
      <c r="J35" s="322"/>
      <c r="K35" s="328"/>
      <c r="L35" s="227"/>
      <c r="M35" s="228"/>
      <c r="N35" s="230"/>
      <c r="O35" s="227"/>
    </row>
    <row r="36" spans="1:15" ht="15" customHeight="1">
      <c r="A36" s="273">
        <f t="shared" si="0"/>
        <v>23</v>
      </c>
      <c r="B36" s="289"/>
      <c r="C36" s="287" t="s">
        <v>478</v>
      </c>
      <c r="D36" s="286" t="s">
        <v>479</v>
      </c>
      <c r="E36" s="313">
        <v>190</v>
      </c>
      <c r="F36" s="312" t="s">
        <v>230</v>
      </c>
      <c r="G36" s="286"/>
      <c r="H36" s="299"/>
      <c r="I36" s="299"/>
      <c r="J36" s="322"/>
      <c r="K36" s="328"/>
      <c r="L36" s="227"/>
      <c r="M36" s="228"/>
      <c r="N36" s="230"/>
      <c r="O36" s="227"/>
    </row>
    <row r="37" spans="1:15" ht="15" customHeight="1">
      <c r="A37" s="273">
        <f t="shared" si="0"/>
        <v>24</v>
      </c>
      <c r="B37" s="289"/>
      <c r="C37" s="287" t="s">
        <v>480</v>
      </c>
      <c r="D37" s="286" t="s">
        <v>481</v>
      </c>
      <c r="E37" s="313">
        <v>694</v>
      </c>
      <c r="F37" s="286"/>
      <c r="G37" s="286"/>
      <c r="H37" s="299"/>
      <c r="I37" s="299"/>
      <c r="J37" s="322"/>
      <c r="K37" s="328"/>
      <c r="L37" s="227"/>
      <c r="M37" s="228"/>
      <c r="N37" s="230"/>
      <c r="O37" s="227"/>
    </row>
    <row r="38" spans="1:15" ht="15" customHeight="1">
      <c r="A38" s="273">
        <f t="shared" si="0"/>
        <v>25</v>
      </c>
      <c r="B38" s="289"/>
      <c r="C38" s="287" t="s">
        <v>475</v>
      </c>
      <c r="D38" s="312" t="s">
        <v>482</v>
      </c>
      <c r="E38" s="313">
        <v>24</v>
      </c>
      <c r="F38" s="337" t="s">
        <v>230</v>
      </c>
      <c r="G38" s="286"/>
      <c r="H38" s="299"/>
      <c r="I38" s="299"/>
      <c r="J38" s="322"/>
      <c r="K38" s="328"/>
      <c r="L38" s="227"/>
      <c r="M38" s="228"/>
      <c r="N38" s="230"/>
      <c r="O38" s="227"/>
    </row>
    <row r="39" spans="1:15" ht="15" customHeight="1">
      <c r="A39" s="273">
        <f t="shared" si="0"/>
        <v>26</v>
      </c>
      <c r="B39" s="289"/>
      <c r="C39" s="287" t="s">
        <v>483</v>
      </c>
      <c r="D39" s="286" t="s">
        <v>484</v>
      </c>
      <c r="E39" s="313">
        <v>131</v>
      </c>
      <c r="F39" s="312" t="s">
        <v>230</v>
      </c>
      <c r="G39" s="286"/>
      <c r="H39" s="299"/>
      <c r="I39" s="299"/>
      <c r="J39" s="322"/>
      <c r="K39" s="328"/>
      <c r="L39" s="227"/>
      <c r="M39" s="228"/>
      <c r="N39" s="230"/>
      <c r="O39" s="227"/>
    </row>
    <row r="40" spans="1:15" ht="15" customHeight="1">
      <c r="A40" s="273">
        <f t="shared" si="0"/>
        <v>27</v>
      </c>
      <c r="B40" s="289"/>
      <c r="C40" s="287" t="s">
        <v>485</v>
      </c>
      <c r="D40" s="286" t="s">
        <v>486</v>
      </c>
      <c r="E40" s="313">
        <v>142</v>
      </c>
      <c r="F40" s="312" t="s">
        <v>230</v>
      </c>
      <c r="G40" s="286"/>
      <c r="H40" s="299"/>
      <c r="I40" s="299"/>
      <c r="J40" s="322"/>
      <c r="K40" s="328"/>
      <c r="L40" s="227"/>
      <c r="M40" s="228"/>
      <c r="N40" s="230"/>
      <c r="O40" s="227"/>
    </row>
    <row r="41" spans="1:15" ht="15" customHeight="1">
      <c r="A41" s="273" t="str">
        <f t="shared" si="0"/>
        <v/>
      </c>
      <c r="B41" s="289"/>
      <c r="C41" s="287" t="s">
        <v>475</v>
      </c>
      <c r="D41" s="286"/>
      <c r="E41" s="308">
        <v>22.64</v>
      </c>
      <c r="F41" s="312" t="s">
        <v>230</v>
      </c>
      <c r="G41" s="286"/>
      <c r="H41" s="299"/>
      <c r="I41" s="299"/>
      <c r="J41" s="322"/>
      <c r="K41" s="328"/>
      <c r="L41" s="227"/>
      <c r="M41" s="228"/>
      <c r="N41" s="230"/>
      <c r="O41" s="227"/>
    </row>
    <row r="42" spans="1:15" ht="15" customHeight="1">
      <c r="A42" s="273">
        <f t="shared" si="0"/>
        <v>29</v>
      </c>
      <c r="B42" s="289"/>
      <c r="C42" s="287" t="s">
        <v>465</v>
      </c>
      <c r="D42" s="286" t="s">
        <v>487</v>
      </c>
      <c r="E42" s="308">
        <v>425.12</v>
      </c>
      <c r="F42" s="312" t="s">
        <v>230</v>
      </c>
      <c r="G42" s="286"/>
      <c r="H42" s="299"/>
      <c r="I42" s="299"/>
      <c r="J42" s="322"/>
      <c r="K42" s="328"/>
      <c r="L42" s="227"/>
      <c r="M42" s="228"/>
      <c r="N42" s="230"/>
      <c r="O42" s="227"/>
    </row>
    <row r="43" spans="1:15" ht="15" customHeight="1">
      <c r="A43" s="273">
        <f t="shared" si="0"/>
        <v>30</v>
      </c>
      <c r="B43" s="289"/>
      <c r="C43" s="287" t="s">
        <v>480</v>
      </c>
      <c r="D43" s="286" t="s">
        <v>488</v>
      </c>
      <c r="E43" s="313">
        <v>477.7</v>
      </c>
      <c r="F43" s="286"/>
      <c r="G43" s="286"/>
      <c r="H43" s="299"/>
      <c r="I43" s="299"/>
      <c r="J43" s="322"/>
      <c r="K43" s="328"/>
      <c r="L43" s="227"/>
      <c r="M43" s="228"/>
      <c r="N43" s="230"/>
      <c r="O43" s="227"/>
    </row>
    <row r="44" spans="1:15" ht="15" customHeight="1">
      <c r="A44" s="273" t="str">
        <f t="shared" si="0"/>
        <v/>
      </c>
      <c r="B44" s="289"/>
      <c r="C44" s="287" t="s">
        <v>489</v>
      </c>
      <c r="D44" s="286"/>
      <c r="E44" s="313">
        <v>210</v>
      </c>
      <c r="F44" s="286"/>
      <c r="G44" s="286"/>
      <c r="H44" s="299"/>
      <c r="I44" s="299"/>
      <c r="J44" s="322"/>
      <c r="K44" s="328"/>
      <c r="L44" s="227"/>
      <c r="M44" s="228"/>
      <c r="N44" s="230"/>
      <c r="O44" s="227"/>
    </row>
    <row r="45" spans="1:15" ht="15" customHeight="1">
      <c r="A45" s="273" t="str">
        <f t="shared" si="0"/>
        <v/>
      </c>
      <c r="B45" s="289"/>
      <c r="C45" s="287"/>
      <c r="D45" s="286"/>
      <c r="E45" s="272"/>
      <c r="F45" s="286"/>
      <c r="G45" s="286"/>
      <c r="H45" s="299"/>
      <c r="I45" s="299"/>
      <c r="J45" s="322"/>
      <c r="K45" s="328"/>
      <c r="L45" s="227"/>
      <c r="M45" s="228"/>
      <c r="N45" s="230"/>
      <c r="O45" s="227"/>
    </row>
    <row r="46" spans="1:15" ht="15" customHeight="1">
      <c r="A46" s="273" t="str">
        <f t="shared" si="0"/>
        <v/>
      </c>
      <c r="B46" s="289"/>
      <c r="C46" s="287"/>
      <c r="D46" s="286"/>
      <c r="E46" s="272"/>
      <c r="F46" s="286"/>
      <c r="G46" s="286"/>
      <c r="H46" s="299"/>
      <c r="I46" s="299"/>
      <c r="J46" s="322"/>
      <c r="K46" s="328"/>
      <c r="L46" s="227"/>
      <c r="M46" s="228"/>
      <c r="N46" s="230"/>
      <c r="O46" s="227"/>
    </row>
    <row r="47" spans="1:15" ht="15" customHeight="1">
      <c r="A47" s="273" t="str">
        <f t="shared" si="0"/>
        <v/>
      </c>
      <c r="B47" s="289"/>
      <c r="C47" s="287"/>
      <c r="D47" s="286"/>
      <c r="E47" s="272"/>
      <c r="F47" s="286"/>
      <c r="G47" s="286"/>
      <c r="H47" s="299"/>
      <c r="I47" s="299"/>
      <c r="J47" s="322"/>
      <c r="K47" s="328"/>
      <c r="L47" s="227"/>
      <c r="M47" s="228"/>
      <c r="N47" s="230"/>
      <c r="O47" s="227"/>
    </row>
    <row r="48" spans="1:15" ht="15" customHeight="1">
      <c r="A48" s="273" t="str">
        <f t="shared" si="0"/>
        <v/>
      </c>
      <c r="B48" s="289"/>
      <c r="C48" s="287"/>
      <c r="D48" s="286"/>
      <c r="E48" s="272"/>
      <c r="F48" s="286"/>
      <c r="G48" s="286"/>
      <c r="H48" s="299"/>
      <c r="I48" s="299"/>
      <c r="J48" s="322"/>
      <c r="K48" s="328"/>
      <c r="L48" s="227"/>
      <c r="M48" s="228"/>
      <c r="N48" s="230"/>
      <c r="O48" s="227"/>
    </row>
    <row r="49" spans="1:15" ht="15" customHeight="1">
      <c r="A49" s="273" t="str">
        <f t="shared" si="0"/>
        <v/>
      </c>
      <c r="B49" s="289"/>
      <c r="C49" s="287"/>
      <c r="D49" s="286"/>
      <c r="E49" s="272"/>
      <c r="F49" s="286"/>
      <c r="G49" s="286"/>
      <c r="H49" s="299"/>
      <c r="I49" s="299"/>
      <c r="J49" s="322"/>
      <c r="K49" s="328"/>
      <c r="L49" s="227"/>
      <c r="M49" s="228"/>
      <c r="N49" s="230"/>
      <c r="O49" s="227"/>
    </row>
    <row r="50" spans="1:15" ht="15" customHeight="1">
      <c r="A50" s="273" t="str">
        <f t="shared" si="0"/>
        <v/>
      </c>
      <c r="B50" s="289"/>
      <c r="C50" s="287"/>
      <c r="D50" s="286"/>
      <c r="E50" s="272"/>
      <c r="F50" s="286"/>
      <c r="G50" s="286"/>
      <c r="H50" s="299"/>
      <c r="I50" s="299"/>
      <c r="J50" s="322"/>
      <c r="K50" s="328"/>
      <c r="L50" s="227"/>
      <c r="M50" s="228"/>
      <c r="N50" s="230"/>
      <c r="O50" s="227"/>
    </row>
    <row r="51" spans="1:15" ht="15" customHeight="1">
      <c r="A51" s="273" t="str">
        <f t="shared" si="0"/>
        <v/>
      </c>
      <c r="B51" s="289"/>
      <c r="C51" s="287"/>
      <c r="D51" s="286"/>
      <c r="E51" s="272"/>
      <c r="F51" s="286"/>
      <c r="G51" s="286"/>
      <c r="H51" s="299"/>
      <c r="I51" s="299"/>
      <c r="J51" s="322"/>
      <c r="K51" s="328"/>
      <c r="L51" s="227"/>
      <c r="M51" s="228"/>
      <c r="N51" s="230"/>
      <c r="O51" s="227"/>
    </row>
    <row r="52" spans="1:15" ht="15" customHeight="1">
      <c r="A52" s="273" t="str">
        <f t="shared" si="0"/>
        <v/>
      </c>
      <c r="B52" s="289"/>
      <c r="C52" s="287"/>
      <c r="D52" s="286"/>
      <c r="E52" s="272"/>
      <c r="F52" s="286"/>
      <c r="G52" s="286"/>
      <c r="H52" s="299"/>
      <c r="I52" s="299"/>
      <c r="J52" s="322"/>
      <c r="K52" s="328"/>
      <c r="L52" s="227"/>
      <c r="M52" s="228"/>
      <c r="N52" s="230"/>
      <c r="O52" s="227"/>
    </row>
    <row r="53" spans="1:15" ht="15" customHeight="1">
      <c r="A53" s="273" t="str">
        <f t="shared" si="0"/>
        <v/>
      </c>
      <c r="B53" s="289"/>
      <c r="C53" s="287"/>
      <c r="D53" s="286"/>
      <c r="E53" s="272"/>
      <c r="F53" s="286"/>
      <c r="G53" s="286"/>
      <c r="H53" s="299"/>
      <c r="I53" s="299"/>
      <c r="J53" s="322"/>
      <c r="K53" s="328"/>
      <c r="L53" s="227"/>
      <c r="M53" s="228"/>
      <c r="N53" s="230"/>
      <c r="O53" s="227"/>
    </row>
    <row r="54" spans="1:15" ht="15" customHeight="1">
      <c r="A54" s="273" t="str">
        <f t="shared" si="0"/>
        <v/>
      </c>
      <c r="B54" s="289"/>
      <c r="C54" s="287"/>
      <c r="D54" s="286"/>
      <c r="E54" s="272"/>
      <c r="F54" s="286"/>
      <c r="G54" s="286"/>
      <c r="H54" s="299"/>
      <c r="I54" s="299"/>
      <c r="J54" s="322"/>
      <c r="K54" s="328"/>
      <c r="L54" s="227"/>
      <c r="M54" s="228"/>
      <c r="N54" s="230"/>
      <c r="O54" s="227"/>
    </row>
    <row r="55" spans="1:15" ht="15" customHeight="1">
      <c r="A55" s="273" t="str">
        <f t="shared" si="0"/>
        <v/>
      </c>
      <c r="B55" s="289"/>
      <c r="C55" s="287"/>
      <c r="D55" s="286"/>
      <c r="E55" s="272"/>
      <c r="F55" s="286"/>
      <c r="G55" s="286"/>
      <c r="H55" s="299"/>
      <c r="I55" s="299"/>
      <c r="J55" s="322"/>
      <c r="K55" s="328"/>
      <c r="L55" s="227"/>
      <c r="M55" s="228"/>
      <c r="N55" s="230"/>
      <c r="O55" s="227"/>
    </row>
    <row r="56" spans="1:15" ht="15" customHeight="1">
      <c r="A56" s="273" t="str">
        <f t="shared" si="0"/>
        <v/>
      </c>
      <c r="B56" s="289"/>
      <c r="C56" s="287"/>
      <c r="D56" s="286"/>
      <c r="E56" s="272"/>
      <c r="F56" s="286"/>
      <c r="G56" s="286"/>
      <c r="H56" s="299"/>
      <c r="I56" s="299"/>
      <c r="J56" s="322"/>
      <c r="K56" s="328"/>
      <c r="L56" s="227"/>
      <c r="M56" s="228"/>
      <c r="N56" s="230"/>
      <c r="O56" s="227"/>
    </row>
    <row r="57" spans="1:15" ht="15" customHeight="1">
      <c r="A57" s="273" t="str">
        <f t="shared" si="0"/>
        <v/>
      </c>
      <c r="B57" s="289"/>
      <c r="C57" s="287"/>
      <c r="D57" s="286"/>
      <c r="E57" s="272"/>
      <c r="F57" s="286"/>
      <c r="G57" s="286"/>
      <c r="H57" s="299"/>
      <c r="I57" s="299"/>
      <c r="J57" s="322"/>
      <c r="K57" s="328"/>
      <c r="L57" s="227"/>
      <c r="M57" s="228"/>
      <c r="N57" s="230"/>
      <c r="O57" s="227"/>
    </row>
    <row r="58" spans="1:15" ht="15" customHeight="1">
      <c r="A58" s="273" t="str">
        <f t="shared" si="0"/>
        <v/>
      </c>
      <c r="B58" s="289"/>
      <c r="C58" s="287"/>
      <c r="D58" s="286"/>
      <c r="E58" s="272"/>
      <c r="F58" s="286"/>
      <c r="G58" s="286"/>
      <c r="H58" s="299"/>
      <c r="I58" s="299"/>
      <c r="J58" s="322"/>
      <c r="K58" s="328"/>
      <c r="L58" s="227"/>
      <c r="M58" s="228"/>
      <c r="N58" s="230"/>
      <c r="O58" s="227"/>
    </row>
    <row r="59" spans="1:15" ht="15" customHeight="1">
      <c r="A59" s="273" t="str">
        <f t="shared" si="0"/>
        <v/>
      </c>
      <c r="B59" s="289"/>
      <c r="C59" s="287"/>
      <c r="D59" s="286"/>
      <c r="E59" s="272"/>
      <c r="F59" s="286"/>
      <c r="G59" s="286"/>
      <c r="H59" s="299"/>
      <c r="I59" s="299"/>
      <c r="J59" s="322"/>
      <c r="K59" s="328"/>
      <c r="L59" s="227"/>
      <c r="M59" s="228"/>
      <c r="N59" s="230"/>
      <c r="O59" s="227"/>
    </row>
    <row r="60" spans="1:15" ht="15" customHeight="1">
      <c r="A60" s="273" t="str">
        <f t="shared" si="0"/>
        <v/>
      </c>
      <c r="B60" s="289"/>
      <c r="C60" s="287"/>
      <c r="D60" s="286"/>
      <c r="E60" s="272"/>
      <c r="F60" s="286"/>
      <c r="G60" s="286"/>
      <c r="H60" s="299"/>
      <c r="I60" s="299"/>
      <c r="J60" s="322"/>
      <c r="K60" s="328"/>
      <c r="L60" s="227"/>
      <c r="M60" s="228"/>
      <c r="N60" s="230"/>
      <c r="O60" s="227"/>
    </row>
    <row r="61" spans="1:15" ht="15" customHeight="1">
      <c r="A61" s="273" t="str">
        <f t="shared" si="0"/>
        <v/>
      </c>
      <c r="B61" s="289"/>
      <c r="C61" s="287"/>
      <c r="D61" s="286"/>
      <c r="E61" s="272"/>
      <c r="F61" s="286"/>
      <c r="G61" s="286"/>
      <c r="H61" s="299"/>
      <c r="I61" s="299"/>
      <c r="J61" s="322"/>
      <c r="K61" s="328"/>
      <c r="L61" s="227"/>
      <c r="M61" s="228"/>
      <c r="N61" s="230"/>
      <c r="O61" s="227"/>
    </row>
    <row r="62" spans="1:15" ht="15" customHeight="1">
      <c r="A62" s="273" t="str">
        <f t="shared" si="0"/>
        <v/>
      </c>
      <c r="B62" s="289"/>
      <c r="C62" s="287"/>
      <c r="D62" s="286"/>
      <c r="E62" s="272"/>
      <c r="F62" s="286"/>
      <c r="G62" s="286"/>
      <c r="H62" s="299"/>
      <c r="I62" s="299"/>
      <c r="J62" s="322"/>
      <c r="K62" s="328"/>
      <c r="L62" s="227"/>
      <c r="M62" s="228"/>
      <c r="N62" s="230"/>
      <c r="O62" s="227"/>
    </row>
    <row r="63" spans="1:15" ht="15" customHeight="1">
      <c r="A63" s="273" t="str">
        <f t="shared" si="0"/>
        <v/>
      </c>
      <c r="B63" s="289"/>
      <c r="C63" s="287"/>
      <c r="D63" s="286"/>
      <c r="E63" s="272"/>
      <c r="F63" s="286"/>
      <c r="G63" s="286"/>
      <c r="H63" s="299"/>
      <c r="I63" s="299"/>
      <c r="J63" s="322"/>
      <c r="K63" s="328"/>
      <c r="L63" s="227"/>
      <c r="M63" s="228"/>
      <c r="N63" s="230"/>
      <c r="O63" s="227"/>
    </row>
    <row r="64" spans="1:15" ht="15" customHeight="1">
      <c r="A64" s="273" t="str">
        <f t="shared" si="0"/>
        <v/>
      </c>
      <c r="B64" s="289"/>
      <c r="C64" s="287"/>
      <c r="D64" s="286"/>
      <c r="E64" s="272"/>
      <c r="F64" s="286"/>
      <c r="G64" s="286"/>
      <c r="H64" s="299"/>
      <c r="I64" s="299"/>
      <c r="J64" s="322"/>
      <c r="K64" s="328"/>
      <c r="L64" s="227"/>
      <c r="M64" s="228"/>
      <c r="N64" s="230"/>
      <c r="O64" s="227"/>
    </row>
    <row r="65" spans="1:15" ht="15" customHeight="1">
      <c r="A65" s="273" t="str">
        <f t="shared" si="0"/>
        <v/>
      </c>
      <c r="B65" s="289"/>
      <c r="C65" s="287"/>
      <c r="D65" s="286"/>
      <c r="E65" s="272"/>
      <c r="F65" s="286"/>
      <c r="G65" s="286"/>
      <c r="H65" s="299"/>
      <c r="I65" s="299"/>
      <c r="J65" s="322"/>
      <c r="K65" s="328"/>
      <c r="L65" s="227"/>
      <c r="M65" s="228"/>
      <c r="N65" s="230"/>
      <c r="O65" s="227"/>
    </row>
    <row r="66" spans="1:15" ht="15" customHeight="1">
      <c r="A66" s="273" t="str">
        <f t="shared" si="0"/>
        <v/>
      </c>
      <c r="B66" s="289"/>
      <c r="C66" s="287"/>
      <c r="D66" s="286"/>
      <c r="E66" s="272"/>
      <c r="F66" s="286"/>
      <c r="G66" s="286"/>
      <c r="H66" s="299"/>
      <c r="I66" s="299"/>
      <c r="J66" s="322"/>
      <c r="K66" s="328"/>
      <c r="L66" s="227"/>
      <c r="M66" s="228"/>
      <c r="N66" s="230"/>
      <c r="O66" s="227"/>
    </row>
    <row r="67" spans="1:15" ht="15" customHeight="1">
      <c r="A67" s="273" t="str">
        <f t="shared" si="0"/>
        <v/>
      </c>
      <c r="B67" s="289"/>
      <c r="C67" s="287"/>
      <c r="D67" s="286"/>
      <c r="E67" s="272"/>
      <c r="F67" s="286"/>
      <c r="G67" s="286"/>
      <c r="H67" s="299"/>
      <c r="I67" s="299"/>
      <c r="J67" s="322"/>
      <c r="K67" s="328"/>
      <c r="L67" s="227"/>
      <c r="M67" s="228"/>
      <c r="N67" s="230"/>
      <c r="O67" s="227"/>
    </row>
    <row r="68" spans="1:15" ht="15" customHeight="1">
      <c r="A68" s="273" t="str">
        <f t="shared" si="0"/>
        <v/>
      </c>
      <c r="B68" s="289"/>
      <c r="C68" s="287"/>
      <c r="D68" s="286"/>
      <c r="E68" s="272"/>
      <c r="F68" s="286"/>
      <c r="G68" s="286"/>
      <c r="H68" s="299"/>
      <c r="I68" s="299"/>
      <c r="J68" s="322"/>
      <c r="K68" s="328"/>
      <c r="L68" s="227"/>
      <c r="M68" s="228"/>
      <c r="N68" s="230"/>
      <c r="O68" s="227"/>
    </row>
    <row r="69" spans="1:15" ht="15" customHeight="1">
      <c r="A69" s="273" t="str">
        <f t="shared" si="0"/>
        <v/>
      </c>
      <c r="B69" s="289"/>
      <c r="C69" s="287"/>
      <c r="D69" s="286"/>
      <c r="E69" s="272"/>
      <c r="F69" s="286"/>
      <c r="G69" s="286"/>
      <c r="H69" s="299"/>
      <c r="I69" s="299"/>
      <c r="J69" s="322"/>
      <c r="K69" s="328"/>
      <c r="L69" s="227"/>
      <c r="M69" s="228"/>
      <c r="N69" s="230"/>
      <c r="O69" s="227"/>
    </row>
    <row r="70" spans="1:15" ht="15" customHeight="1">
      <c r="A70" s="273" t="str">
        <f t="shared" si="0"/>
        <v/>
      </c>
      <c r="B70" s="289"/>
      <c r="C70" s="287"/>
      <c r="D70" s="286"/>
      <c r="E70" s="272"/>
      <c r="F70" s="286"/>
      <c r="G70" s="286"/>
      <c r="H70" s="299"/>
      <c r="I70" s="299"/>
      <c r="J70" s="322"/>
      <c r="K70" s="328"/>
      <c r="L70" s="227"/>
      <c r="M70" s="228"/>
      <c r="N70" s="230"/>
      <c r="O70" s="227"/>
    </row>
    <row r="71" spans="1:15" ht="15" customHeight="1">
      <c r="A71" s="273" t="str">
        <f t="shared" si="0"/>
        <v/>
      </c>
      <c r="B71" s="289"/>
      <c r="C71" s="287"/>
      <c r="D71" s="286"/>
      <c r="E71" s="272"/>
      <c r="F71" s="286"/>
      <c r="G71" s="286"/>
      <c r="H71" s="299"/>
      <c r="I71" s="299"/>
      <c r="J71" s="322"/>
      <c r="K71" s="328"/>
      <c r="L71" s="227"/>
      <c r="M71" s="228"/>
      <c r="N71" s="230"/>
      <c r="O71" s="227"/>
    </row>
    <row r="72" spans="1:15" ht="15" customHeight="1">
      <c r="A72" s="273" t="str">
        <f t="shared" si="0"/>
        <v/>
      </c>
      <c r="B72" s="289"/>
      <c r="C72" s="287"/>
      <c r="D72" s="286"/>
      <c r="E72" s="272"/>
      <c r="F72" s="286"/>
      <c r="G72" s="286"/>
      <c r="H72" s="299"/>
      <c r="I72" s="299"/>
      <c r="J72" s="322"/>
      <c r="K72" s="328"/>
      <c r="L72" s="227"/>
      <c r="M72" s="228"/>
      <c r="N72" s="230"/>
      <c r="O72" s="227"/>
    </row>
    <row r="73" spans="1:15" ht="15" customHeight="1">
      <c r="A73" s="273" t="str">
        <f t="shared" si="0"/>
        <v/>
      </c>
      <c r="B73" s="289"/>
      <c r="C73" s="287"/>
      <c r="D73" s="286"/>
      <c r="E73" s="272"/>
      <c r="F73" s="286"/>
      <c r="G73" s="286"/>
      <c r="H73" s="299"/>
      <c r="I73" s="299"/>
      <c r="J73" s="322"/>
      <c r="K73" s="328"/>
      <c r="L73" s="227"/>
      <c r="M73" s="228"/>
      <c r="N73" s="230"/>
      <c r="O73" s="227"/>
    </row>
    <row r="74" spans="1:15" ht="15" customHeight="1">
      <c r="A74" s="273" t="str">
        <f t="shared" si="0"/>
        <v/>
      </c>
      <c r="B74" s="289"/>
      <c r="C74" s="287"/>
      <c r="D74" s="286"/>
      <c r="E74" s="272"/>
      <c r="F74" s="286"/>
      <c r="G74" s="286"/>
      <c r="H74" s="299"/>
      <c r="I74" s="299"/>
      <c r="J74" s="322"/>
      <c r="K74" s="328"/>
      <c r="L74" s="227"/>
      <c r="M74" s="228"/>
      <c r="N74" s="230"/>
      <c r="O74" s="227"/>
    </row>
    <row r="75" spans="1:15" ht="15" customHeight="1">
      <c r="A75" s="273" t="str">
        <f t="shared" si="0"/>
        <v/>
      </c>
      <c r="B75" s="289"/>
      <c r="C75" s="287"/>
      <c r="D75" s="286"/>
      <c r="E75" s="272"/>
      <c r="F75" s="286"/>
      <c r="G75" s="286"/>
      <c r="H75" s="299"/>
      <c r="I75" s="299"/>
      <c r="J75" s="322"/>
      <c r="K75" s="328"/>
      <c r="L75" s="227"/>
      <c r="M75" s="228"/>
      <c r="N75" s="230"/>
      <c r="O75" s="227"/>
    </row>
    <row r="76" spans="1:15" ht="15" customHeight="1">
      <c r="A76" s="273" t="str">
        <f t="shared" si="0"/>
        <v/>
      </c>
      <c r="B76" s="289"/>
      <c r="C76" s="287"/>
      <c r="D76" s="286"/>
      <c r="E76" s="272"/>
      <c r="F76" s="286"/>
      <c r="G76" s="286"/>
      <c r="H76" s="299"/>
      <c r="I76" s="299"/>
      <c r="J76" s="322"/>
      <c r="K76" s="328"/>
      <c r="L76" s="227"/>
      <c r="M76" s="228"/>
      <c r="N76" s="230"/>
      <c r="O76" s="227"/>
    </row>
    <row r="77" spans="1:15" ht="15" customHeight="1">
      <c r="A77" s="273" t="str">
        <f t="shared" si="0"/>
        <v/>
      </c>
      <c r="B77" s="289"/>
      <c r="C77" s="287"/>
      <c r="D77" s="286"/>
      <c r="E77" s="272"/>
      <c r="F77" s="286"/>
      <c r="G77" s="286"/>
      <c r="H77" s="299"/>
      <c r="I77" s="299"/>
      <c r="J77" s="322"/>
      <c r="K77" s="328"/>
      <c r="L77" s="227"/>
      <c r="M77" s="228"/>
      <c r="N77" s="230"/>
      <c r="O77" s="227"/>
    </row>
    <row r="78" spans="1:15" ht="15" customHeight="1">
      <c r="A78" s="273" t="str">
        <f t="shared" si="0"/>
        <v/>
      </c>
      <c r="B78" s="289"/>
      <c r="C78" s="287"/>
      <c r="D78" s="286"/>
      <c r="E78" s="272"/>
      <c r="F78" s="286"/>
      <c r="G78" s="286"/>
      <c r="H78" s="299"/>
      <c r="I78" s="299"/>
      <c r="J78" s="322"/>
      <c r="K78" s="328"/>
      <c r="L78" s="227"/>
      <c r="M78" s="228"/>
      <c r="N78" s="230"/>
      <c r="O78" s="227"/>
    </row>
    <row r="79" spans="1:15" ht="15" customHeight="1">
      <c r="A79" s="273" t="str">
        <f t="shared" si="0"/>
        <v/>
      </c>
      <c r="B79" s="289"/>
      <c r="C79" s="287"/>
      <c r="D79" s="286"/>
      <c r="E79" s="272"/>
      <c r="F79" s="286"/>
      <c r="G79" s="286"/>
      <c r="H79" s="299"/>
      <c r="I79" s="299"/>
      <c r="J79" s="322"/>
      <c r="K79" s="328"/>
      <c r="L79" s="227"/>
      <c r="M79" s="228"/>
      <c r="N79" s="230"/>
      <c r="O79" s="227"/>
    </row>
    <row r="80" spans="1:15" ht="15" customHeight="1">
      <c r="A80" s="273" t="str">
        <f t="shared" ref="A80:A100" si="1">IF(D80="","",ROW()-13)</f>
        <v/>
      </c>
      <c r="B80" s="289"/>
      <c r="C80" s="287"/>
      <c r="D80" s="286"/>
      <c r="E80" s="272"/>
      <c r="F80" s="286"/>
      <c r="G80" s="286"/>
      <c r="H80" s="299"/>
      <c r="I80" s="299"/>
      <c r="J80" s="322"/>
      <c r="K80" s="328"/>
      <c r="L80" s="227"/>
      <c r="M80" s="228"/>
      <c r="N80" s="230"/>
      <c r="O80" s="227"/>
    </row>
    <row r="81" spans="1:15" ht="15" customHeight="1">
      <c r="A81" s="273" t="str">
        <f t="shared" si="1"/>
        <v/>
      </c>
      <c r="B81" s="289"/>
      <c r="C81" s="287"/>
      <c r="D81" s="286"/>
      <c r="E81" s="272"/>
      <c r="F81" s="286"/>
      <c r="G81" s="286"/>
      <c r="H81" s="299"/>
      <c r="I81" s="299"/>
      <c r="J81" s="322"/>
      <c r="K81" s="328"/>
      <c r="L81" s="227"/>
      <c r="M81" s="228"/>
      <c r="N81" s="230"/>
      <c r="O81" s="227"/>
    </row>
    <row r="82" spans="1:15" ht="15" customHeight="1">
      <c r="A82" s="273" t="str">
        <f t="shared" si="1"/>
        <v/>
      </c>
      <c r="B82" s="289"/>
      <c r="C82" s="287"/>
      <c r="D82" s="286"/>
      <c r="E82" s="272"/>
      <c r="F82" s="286"/>
      <c r="G82" s="286"/>
      <c r="H82" s="299"/>
      <c r="I82" s="299"/>
      <c r="J82" s="322"/>
      <c r="K82" s="328"/>
      <c r="L82" s="227"/>
      <c r="M82" s="228"/>
      <c r="N82" s="230"/>
      <c r="O82" s="227"/>
    </row>
    <row r="83" spans="1:15" ht="15" customHeight="1">
      <c r="A83" s="273" t="str">
        <f t="shared" si="1"/>
        <v/>
      </c>
      <c r="B83" s="289"/>
      <c r="C83" s="287"/>
      <c r="D83" s="286"/>
      <c r="E83" s="272"/>
      <c r="F83" s="286"/>
      <c r="G83" s="286"/>
      <c r="H83" s="299"/>
      <c r="I83" s="299"/>
      <c r="J83" s="322"/>
      <c r="K83" s="328"/>
      <c r="L83" s="227"/>
      <c r="M83" s="228"/>
      <c r="N83" s="230"/>
      <c r="O83" s="227"/>
    </row>
    <row r="84" spans="1:15" ht="15" customHeight="1">
      <c r="A84" s="273" t="str">
        <f t="shared" si="1"/>
        <v/>
      </c>
      <c r="B84" s="289"/>
      <c r="C84" s="287"/>
      <c r="D84" s="286"/>
      <c r="E84" s="272"/>
      <c r="F84" s="286"/>
      <c r="G84" s="286"/>
      <c r="H84" s="299"/>
      <c r="I84" s="299"/>
      <c r="J84" s="322"/>
      <c r="K84" s="328"/>
      <c r="L84" s="227"/>
      <c r="M84" s="228"/>
      <c r="N84" s="230"/>
      <c r="O84" s="227"/>
    </row>
    <row r="85" spans="1:15" ht="15" customHeight="1">
      <c r="A85" s="273" t="str">
        <f t="shared" si="1"/>
        <v/>
      </c>
      <c r="B85" s="289"/>
      <c r="C85" s="287"/>
      <c r="D85" s="286"/>
      <c r="E85" s="272"/>
      <c r="F85" s="286"/>
      <c r="G85" s="286"/>
      <c r="H85" s="299"/>
      <c r="I85" s="299"/>
      <c r="J85" s="322"/>
      <c r="K85" s="328"/>
      <c r="L85" s="227"/>
      <c r="M85" s="228"/>
      <c r="N85" s="230"/>
      <c r="O85" s="227"/>
    </row>
    <row r="86" spans="1:15" ht="15" customHeight="1">
      <c r="A86" s="273" t="str">
        <f t="shared" si="1"/>
        <v/>
      </c>
      <c r="B86" s="289"/>
      <c r="C86" s="287"/>
      <c r="D86" s="286"/>
      <c r="E86" s="272"/>
      <c r="F86" s="286"/>
      <c r="G86" s="286"/>
      <c r="H86" s="299"/>
      <c r="I86" s="299"/>
      <c r="J86" s="322"/>
      <c r="K86" s="328"/>
      <c r="L86" s="227"/>
      <c r="M86" s="228"/>
      <c r="N86" s="230"/>
      <c r="O86" s="227"/>
    </row>
    <row r="87" spans="1:15" ht="15" customHeight="1">
      <c r="A87" s="273" t="str">
        <f t="shared" si="1"/>
        <v/>
      </c>
      <c r="B87" s="289"/>
      <c r="C87" s="287"/>
      <c r="D87" s="286"/>
      <c r="E87" s="272"/>
      <c r="F87" s="286"/>
      <c r="G87" s="286"/>
      <c r="H87" s="299"/>
      <c r="I87" s="299"/>
      <c r="J87" s="322"/>
      <c r="K87" s="328"/>
      <c r="L87" s="227"/>
      <c r="M87" s="228"/>
      <c r="N87" s="230"/>
      <c r="O87" s="227"/>
    </row>
    <row r="88" spans="1:15" ht="15" customHeight="1">
      <c r="A88" s="273" t="str">
        <f t="shared" si="1"/>
        <v/>
      </c>
      <c r="B88" s="289"/>
      <c r="C88" s="287"/>
      <c r="D88" s="286"/>
      <c r="E88" s="272"/>
      <c r="F88" s="286"/>
      <c r="G88" s="286"/>
      <c r="H88" s="299"/>
      <c r="I88" s="299"/>
      <c r="J88" s="322"/>
      <c r="K88" s="328"/>
      <c r="L88" s="227"/>
      <c r="M88" s="228"/>
      <c r="N88" s="230"/>
      <c r="O88" s="227"/>
    </row>
    <row r="89" spans="1:15" ht="15" customHeight="1">
      <c r="A89" s="273" t="str">
        <f t="shared" si="1"/>
        <v/>
      </c>
      <c r="B89" s="289"/>
      <c r="C89" s="287"/>
      <c r="D89" s="286"/>
      <c r="E89" s="272"/>
      <c r="F89" s="286"/>
      <c r="G89" s="286"/>
      <c r="H89" s="299"/>
      <c r="I89" s="299"/>
      <c r="J89" s="322"/>
      <c r="K89" s="328"/>
      <c r="L89" s="227"/>
      <c r="M89" s="228"/>
      <c r="N89" s="230"/>
      <c r="O89" s="227"/>
    </row>
    <row r="90" spans="1:15" ht="15" customHeight="1">
      <c r="A90" s="273" t="str">
        <f t="shared" si="1"/>
        <v/>
      </c>
      <c r="B90" s="289"/>
      <c r="C90" s="287"/>
      <c r="D90" s="286"/>
      <c r="E90" s="272"/>
      <c r="F90" s="286"/>
      <c r="G90" s="286"/>
      <c r="H90" s="299"/>
      <c r="I90" s="299"/>
      <c r="J90" s="322"/>
      <c r="K90" s="328"/>
      <c r="L90" s="227"/>
      <c r="M90" s="228"/>
      <c r="N90" s="230"/>
      <c r="O90" s="227"/>
    </row>
    <row r="91" spans="1:15" ht="15" customHeight="1">
      <c r="A91" s="273" t="str">
        <f t="shared" si="1"/>
        <v/>
      </c>
      <c r="B91" s="289"/>
      <c r="C91" s="271"/>
      <c r="D91" s="286"/>
      <c r="E91" s="272"/>
      <c r="F91" s="286"/>
      <c r="G91" s="286"/>
      <c r="H91" s="299"/>
      <c r="I91" s="299"/>
      <c r="J91" s="321"/>
      <c r="K91" s="327"/>
      <c r="M91" s="229"/>
      <c r="N91" s="231"/>
    </row>
    <row r="92" spans="1:15" ht="15" customHeight="1">
      <c r="A92" s="273" t="str">
        <f t="shared" si="1"/>
        <v/>
      </c>
      <c r="B92" s="289"/>
      <c r="C92" s="271"/>
      <c r="D92" s="286"/>
      <c r="E92" s="272"/>
      <c r="F92" s="286"/>
      <c r="G92" s="286"/>
      <c r="H92" s="299"/>
      <c r="I92" s="299"/>
      <c r="J92" s="321"/>
      <c r="K92" s="327"/>
      <c r="M92" s="229"/>
      <c r="N92" s="231"/>
    </row>
    <row r="93" spans="1:15" ht="15" customHeight="1">
      <c r="A93" s="273" t="str">
        <f t="shared" si="1"/>
        <v/>
      </c>
      <c r="B93" s="289"/>
      <c r="C93" s="271"/>
      <c r="D93" s="286"/>
      <c r="E93" s="272"/>
      <c r="F93" s="286"/>
      <c r="G93" s="286"/>
      <c r="H93" s="299"/>
      <c r="I93" s="299"/>
      <c r="J93" s="321"/>
      <c r="K93" s="327"/>
      <c r="M93" s="229"/>
      <c r="N93" s="231"/>
    </row>
    <row r="94" spans="1:15" ht="15" customHeight="1">
      <c r="A94" s="273" t="str">
        <f t="shared" si="1"/>
        <v/>
      </c>
      <c r="B94" s="289"/>
      <c r="C94" s="271"/>
      <c r="D94" s="286"/>
      <c r="E94" s="272"/>
      <c r="F94" s="286"/>
      <c r="G94" s="286"/>
      <c r="H94" s="299"/>
      <c r="I94" s="299"/>
      <c r="J94" s="321"/>
      <c r="K94" s="327"/>
      <c r="M94" s="229"/>
      <c r="N94" s="231"/>
    </row>
    <row r="95" spans="1:15" ht="15" customHeight="1">
      <c r="A95" s="273" t="str">
        <f t="shared" si="1"/>
        <v/>
      </c>
      <c r="B95" s="289"/>
      <c r="C95" s="271"/>
      <c r="D95" s="286"/>
      <c r="E95" s="272"/>
      <c r="F95" s="286"/>
      <c r="G95" s="286"/>
      <c r="H95" s="299"/>
      <c r="I95" s="299"/>
      <c r="J95" s="321"/>
      <c r="K95" s="327"/>
      <c r="M95" s="229"/>
      <c r="N95" s="231"/>
    </row>
    <row r="96" spans="1:15" ht="15" customHeight="1">
      <c r="A96" s="273" t="str">
        <f t="shared" si="1"/>
        <v/>
      </c>
      <c r="B96" s="290"/>
      <c r="C96" s="286"/>
      <c r="D96" s="286"/>
      <c r="E96" s="272"/>
      <c r="F96" s="286"/>
      <c r="G96" s="286"/>
      <c r="H96" s="299"/>
      <c r="I96" s="299"/>
      <c r="J96" s="321"/>
      <c r="K96" s="327"/>
      <c r="M96" s="229"/>
      <c r="N96" s="231"/>
    </row>
    <row r="97" spans="1:14" ht="15" customHeight="1">
      <c r="A97" s="273" t="str">
        <f t="shared" si="1"/>
        <v/>
      </c>
      <c r="B97" s="290"/>
      <c r="C97" s="286"/>
      <c r="D97" s="286"/>
      <c r="E97" s="272"/>
      <c r="F97" s="286"/>
      <c r="G97" s="286"/>
      <c r="H97" s="299"/>
      <c r="I97" s="299"/>
      <c r="J97" s="321"/>
      <c r="K97" s="327"/>
      <c r="M97" s="229"/>
      <c r="N97" s="231"/>
    </row>
    <row r="98" spans="1:14" ht="15" customHeight="1">
      <c r="A98" s="273" t="str">
        <f t="shared" si="1"/>
        <v/>
      </c>
      <c r="B98" s="290"/>
      <c r="C98" s="286"/>
      <c r="D98" s="286"/>
      <c r="E98" s="272"/>
      <c r="F98" s="286"/>
      <c r="G98" s="286"/>
      <c r="H98" s="299"/>
      <c r="I98" s="299"/>
      <c r="J98" s="321"/>
      <c r="K98" s="327"/>
      <c r="M98" s="229"/>
      <c r="N98" s="231"/>
    </row>
    <row r="99" spans="1:14" ht="15" customHeight="1">
      <c r="A99" s="273" t="str">
        <f t="shared" si="1"/>
        <v/>
      </c>
      <c r="B99" s="290"/>
      <c r="C99" s="286"/>
      <c r="D99" s="286"/>
      <c r="E99" s="272"/>
      <c r="F99" s="286"/>
      <c r="G99" s="286"/>
      <c r="H99" s="299"/>
      <c r="I99" s="299"/>
      <c r="J99" s="321"/>
      <c r="K99" s="327"/>
      <c r="M99" s="229"/>
      <c r="N99" s="231"/>
    </row>
    <row r="100" spans="1:14" ht="15" customHeight="1">
      <c r="A100" s="274" t="str">
        <f t="shared" si="1"/>
        <v/>
      </c>
      <c r="B100" s="291"/>
      <c r="C100" s="288"/>
      <c r="D100" s="288"/>
      <c r="E100" s="296"/>
      <c r="F100" s="288"/>
      <c r="G100" s="288"/>
      <c r="H100" s="300"/>
      <c r="I100" s="300"/>
      <c r="J100" s="324"/>
      <c r="K100" s="329"/>
      <c r="M100" s="229"/>
      <c r="N100" s="231"/>
    </row>
    <row r="101" spans="1:14" ht="15" customHeight="1">
      <c r="A101" s="227"/>
      <c r="H101" s="232"/>
      <c r="I101" s="232"/>
      <c r="M101" s="229"/>
      <c r="N101" s="231"/>
    </row>
    <row r="102" spans="1:14" ht="15" customHeight="1">
      <c r="A102" s="227"/>
      <c r="H102" s="232"/>
      <c r="I102" s="232"/>
      <c r="M102" s="229"/>
      <c r="N102" s="231"/>
    </row>
    <row r="103" spans="1:14" ht="15" customHeight="1">
      <c r="A103" s="227"/>
      <c r="H103" s="232"/>
      <c r="I103" s="232"/>
      <c r="M103" s="229"/>
      <c r="N103" s="231"/>
    </row>
    <row r="104" spans="1:14" ht="15" customHeight="1">
      <c r="A104" s="227"/>
      <c r="H104" s="232"/>
      <c r="I104" s="232"/>
      <c r="M104" s="229"/>
      <c r="N104" s="231"/>
    </row>
    <row r="105" spans="1:14" ht="15" customHeight="1">
      <c r="A105" s="227"/>
      <c r="H105" s="232"/>
      <c r="I105" s="232"/>
      <c r="M105" s="229"/>
      <c r="N105" s="231"/>
    </row>
    <row r="106" spans="1:14" ht="15" customHeight="1">
      <c r="A106" s="227"/>
      <c r="H106" s="232"/>
      <c r="I106" s="232"/>
      <c r="M106" s="229"/>
      <c r="N106" s="231"/>
    </row>
    <row r="107" spans="1:14" ht="15" customHeight="1">
      <c r="A107" s="227"/>
      <c r="H107" s="232"/>
      <c r="I107" s="232"/>
      <c r="M107" s="229"/>
      <c r="N107" s="231"/>
    </row>
    <row r="108" spans="1:14" ht="15" customHeight="1">
      <c r="A108" s="227"/>
      <c r="H108" s="232"/>
      <c r="I108" s="232"/>
      <c r="M108" s="229"/>
      <c r="N108" s="231"/>
    </row>
    <row r="109" spans="1:14" ht="15" customHeight="1">
      <c r="A109" s="227"/>
      <c r="H109" s="232"/>
      <c r="I109" s="232"/>
      <c r="M109" s="229"/>
      <c r="N109" s="231"/>
    </row>
    <row r="110" spans="1:14" ht="15" customHeight="1">
      <c r="A110" s="227"/>
      <c r="H110" s="232"/>
      <c r="I110" s="232"/>
      <c r="M110" s="229"/>
      <c r="N110" s="231"/>
    </row>
    <row r="111" spans="1:14" ht="15" customHeight="1">
      <c r="A111" s="227"/>
      <c r="H111" s="232"/>
      <c r="I111" s="232"/>
      <c r="M111" s="229"/>
      <c r="N111" s="231"/>
    </row>
    <row r="112" spans="1:14" ht="15" customHeight="1">
      <c r="A112" s="227"/>
      <c r="H112" s="232"/>
      <c r="I112" s="232"/>
      <c r="M112" s="229"/>
      <c r="N112" s="231"/>
    </row>
    <row r="113" spans="1:14" ht="15" customHeight="1">
      <c r="A113" s="227"/>
      <c r="H113" s="232"/>
      <c r="I113" s="232"/>
      <c r="M113" s="229"/>
      <c r="N113" s="231"/>
    </row>
    <row r="114" spans="1:14" ht="15" customHeight="1">
      <c r="A114" s="227"/>
      <c r="H114" s="232"/>
      <c r="I114" s="232"/>
      <c r="M114" s="229"/>
      <c r="N114" s="231"/>
    </row>
    <row r="115" spans="1:14" ht="15" customHeight="1">
      <c r="A115" s="227"/>
      <c r="H115" s="232"/>
      <c r="I115" s="232"/>
      <c r="M115" s="229"/>
      <c r="N115" s="231"/>
    </row>
    <row r="116" spans="1:14" ht="15" customHeight="1">
      <c r="A116" s="227"/>
      <c r="H116" s="232"/>
      <c r="I116" s="232"/>
      <c r="M116" s="229"/>
      <c r="N116" s="231"/>
    </row>
    <row r="117" spans="1:14" ht="15" customHeight="1">
      <c r="A117" s="227"/>
      <c r="H117" s="232"/>
      <c r="I117" s="232"/>
      <c r="M117" s="229"/>
      <c r="N117" s="231"/>
    </row>
    <row r="118" spans="1:14" ht="15" customHeight="1">
      <c r="A118" s="227"/>
      <c r="H118" s="232"/>
      <c r="I118" s="232"/>
      <c r="M118" s="229"/>
      <c r="N118" s="231"/>
    </row>
    <row r="119" spans="1:14" ht="15" customHeight="1">
      <c r="A119" s="227"/>
      <c r="H119" s="232"/>
      <c r="I119" s="232"/>
      <c r="M119" s="229"/>
      <c r="N119" s="231"/>
    </row>
    <row r="120" spans="1:14" ht="15" customHeight="1">
      <c r="A120" s="227"/>
      <c r="H120" s="232"/>
      <c r="I120" s="232"/>
      <c r="M120" s="229"/>
      <c r="N120" s="231"/>
    </row>
    <row r="121" spans="1:14" ht="15" customHeight="1">
      <c r="A121" s="227"/>
      <c r="H121" s="232"/>
      <c r="I121" s="232"/>
      <c r="M121" s="229"/>
      <c r="N121" s="231"/>
    </row>
    <row r="122" spans="1:14" ht="15" customHeight="1">
      <c r="A122" s="227"/>
      <c r="H122" s="232"/>
      <c r="I122" s="232"/>
      <c r="M122" s="229"/>
      <c r="N122" s="231"/>
    </row>
    <row r="123" spans="1:14" ht="15" customHeight="1">
      <c r="A123" s="227"/>
      <c r="H123" s="232"/>
      <c r="I123" s="232"/>
      <c r="M123" s="229"/>
      <c r="N123" s="231"/>
    </row>
    <row r="124" spans="1:14" ht="15" customHeight="1">
      <c r="A124" s="227"/>
      <c r="H124" s="232"/>
      <c r="I124" s="232"/>
      <c r="M124" s="229"/>
      <c r="N124" s="231"/>
    </row>
    <row r="125" spans="1:14" ht="15" customHeight="1">
      <c r="A125" s="227"/>
      <c r="H125" s="232"/>
      <c r="I125" s="232"/>
      <c r="M125" s="229"/>
      <c r="N125" s="231"/>
    </row>
    <row r="126" spans="1:14" ht="15" customHeight="1">
      <c r="A126" s="227"/>
      <c r="H126" s="232"/>
      <c r="I126" s="232"/>
      <c r="M126" s="229"/>
      <c r="N126" s="231"/>
    </row>
    <row r="127" spans="1:14" ht="15" customHeight="1">
      <c r="A127" s="227"/>
      <c r="H127" s="232"/>
      <c r="I127" s="232"/>
      <c r="M127" s="229"/>
      <c r="N127" s="231"/>
    </row>
    <row r="128" spans="1:14" ht="15" customHeight="1">
      <c r="A128" s="227"/>
      <c r="H128" s="232"/>
      <c r="I128" s="232"/>
      <c r="M128" s="229"/>
      <c r="N128" s="231"/>
    </row>
    <row r="129" spans="1:14" ht="15" customHeight="1">
      <c r="A129" s="227"/>
      <c r="H129" s="232"/>
      <c r="I129" s="232"/>
      <c r="N129" s="231"/>
    </row>
    <row r="130" spans="1:14" ht="15" customHeight="1">
      <c r="A130" s="227"/>
      <c r="H130" s="232"/>
      <c r="I130" s="232"/>
      <c r="N130" s="231"/>
    </row>
    <row r="131" spans="1:14" ht="15" customHeight="1">
      <c r="A131" s="227"/>
      <c r="H131" s="232"/>
      <c r="I131" s="232"/>
      <c r="N131" s="231"/>
    </row>
    <row r="132" spans="1:14" ht="15" customHeight="1">
      <c r="A132" s="227"/>
      <c r="H132" s="232"/>
      <c r="I132" s="232"/>
      <c r="N132" s="231"/>
    </row>
    <row r="133" spans="1:14" ht="15" customHeight="1">
      <c r="A133" s="227"/>
      <c r="H133" s="232"/>
      <c r="I133" s="232"/>
      <c r="N133" s="231"/>
    </row>
    <row r="134" spans="1:14" ht="15" customHeight="1">
      <c r="A134" s="227"/>
      <c r="H134" s="232"/>
      <c r="I134" s="232"/>
      <c r="N134" s="231"/>
    </row>
    <row r="135" spans="1:14" ht="15" customHeight="1">
      <c r="A135" s="227"/>
      <c r="H135" s="232"/>
      <c r="I135" s="232"/>
      <c r="N135" s="231"/>
    </row>
    <row r="136" spans="1:14" ht="15" customHeight="1">
      <c r="A136" s="227"/>
      <c r="H136" s="232"/>
      <c r="I136" s="232"/>
      <c r="N136" s="231"/>
    </row>
    <row r="137" spans="1:14" ht="15" customHeight="1">
      <c r="A137" s="227"/>
      <c r="H137" s="232"/>
      <c r="I137" s="232"/>
      <c r="N137" s="231"/>
    </row>
    <row r="138" spans="1:14" ht="15" customHeight="1">
      <c r="A138" s="227"/>
      <c r="H138" s="232"/>
      <c r="I138" s="232"/>
      <c r="N138" s="231"/>
    </row>
    <row r="139" spans="1:14" ht="15" customHeight="1">
      <c r="A139" s="227"/>
      <c r="H139" s="232"/>
      <c r="I139" s="232"/>
      <c r="N139" s="231"/>
    </row>
    <row r="140" spans="1:14" ht="15" customHeight="1">
      <c r="A140" s="227"/>
      <c r="H140" s="232"/>
      <c r="I140" s="232"/>
      <c r="N140" s="231"/>
    </row>
    <row r="141" spans="1:14" ht="15" customHeight="1">
      <c r="A141" s="227"/>
      <c r="H141" s="232"/>
      <c r="I141" s="232"/>
      <c r="N141" s="231"/>
    </row>
    <row r="142" spans="1:14" ht="15" customHeight="1">
      <c r="A142" s="227"/>
      <c r="H142" s="232"/>
      <c r="I142" s="232"/>
      <c r="N142" s="231"/>
    </row>
    <row r="143" spans="1:14" ht="15" customHeight="1">
      <c r="A143" s="227"/>
      <c r="H143" s="232"/>
      <c r="I143" s="232"/>
      <c r="N143" s="231"/>
    </row>
    <row r="144" spans="1:14" ht="15" customHeight="1">
      <c r="A144" s="227"/>
      <c r="H144" s="232"/>
      <c r="I144" s="232"/>
      <c r="N144" s="231"/>
    </row>
    <row r="145" spans="1:14" ht="15" customHeight="1">
      <c r="A145" s="227"/>
      <c r="H145" s="232"/>
      <c r="I145" s="232"/>
      <c r="N145" s="231"/>
    </row>
    <row r="146" spans="1:14" ht="15" customHeight="1">
      <c r="A146" s="227"/>
      <c r="H146" s="232"/>
      <c r="I146" s="232"/>
      <c r="N146" s="231"/>
    </row>
    <row r="147" spans="1:14" ht="15" customHeight="1">
      <c r="A147" s="227"/>
      <c r="H147" s="232"/>
      <c r="I147" s="232"/>
      <c r="N147" s="231"/>
    </row>
    <row r="148" spans="1:14" ht="15" customHeight="1">
      <c r="A148" s="227"/>
      <c r="H148" s="232"/>
      <c r="I148" s="232"/>
      <c r="N148" s="231"/>
    </row>
    <row r="149" spans="1:14" ht="15" customHeight="1">
      <c r="A149" s="227"/>
      <c r="H149" s="232"/>
      <c r="I149" s="232"/>
      <c r="N149" s="231"/>
    </row>
    <row r="150" spans="1:14" ht="15" customHeight="1">
      <c r="A150" s="227"/>
      <c r="H150" s="232"/>
      <c r="I150" s="232"/>
      <c r="N150" s="231"/>
    </row>
    <row r="151" spans="1:14" ht="15" customHeight="1">
      <c r="A151" s="227"/>
      <c r="H151" s="232"/>
      <c r="I151" s="232"/>
      <c r="N151" s="231"/>
    </row>
    <row r="152" spans="1:14" ht="15" customHeight="1">
      <c r="A152" s="227"/>
      <c r="H152" s="232"/>
      <c r="I152" s="232"/>
      <c r="N152" s="231"/>
    </row>
    <row r="153" spans="1:14" ht="15" customHeight="1">
      <c r="A153" s="227"/>
      <c r="H153" s="232"/>
      <c r="I153" s="232"/>
      <c r="N153" s="231"/>
    </row>
    <row r="154" spans="1:14" ht="15" customHeight="1">
      <c r="A154" s="227"/>
      <c r="H154" s="232"/>
      <c r="I154" s="232"/>
      <c r="N154" s="231"/>
    </row>
    <row r="155" spans="1:14" ht="15" customHeight="1">
      <c r="A155" s="227"/>
      <c r="H155" s="232"/>
      <c r="I155" s="232"/>
      <c r="N155" s="231"/>
    </row>
    <row r="156" spans="1:14" ht="15" customHeight="1">
      <c r="A156" s="227"/>
      <c r="H156" s="232"/>
      <c r="I156" s="232"/>
      <c r="N156" s="231"/>
    </row>
    <row r="157" spans="1:14" ht="15" customHeight="1">
      <c r="A157" s="227"/>
      <c r="H157" s="232"/>
      <c r="I157" s="232"/>
      <c r="N157" s="231"/>
    </row>
    <row r="158" spans="1:14" ht="15" customHeight="1">
      <c r="A158" s="227"/>
      <c r="H158" s="232"/>
      <c r="I158" s="232"/>
      <c r="N158" s="231"/>
    </row>
    <row r="159" spans="1:14" ht="15" customHeight="1">
      <c r="A159" s="227"/>
      <c r="H159" s="232"/>
      <c r="I159" s="232"/>
      <c r="N159" s="231"/>
    </row>
    <row r="160" spans="1:14" ht="15" customHeight="1">
      <c r="A160" s="227"/>
      <c r="H160" s="232"/>
      <c r="I160" s="232"/>
      <c r="N160" s="231"/>
    </row>
    <row r="161" spans="1:14" ht="15" customHeight="1">
      <c r="A161" s="227"/>
      <c r="H161" s="232"/>
      <c r="I161" s="232"/>
      <c r="N161" s="231"/>
    </row>
    <row r="162" spans="1:14" ht="15" customHeight="1">
      <c r="A162" s="227"/>
      <c r="H162" s="232"/>
      <c r="I162" s="232"/>
      <c r="N162" s="231"/>
    </row>
    <row r="163" spans="1:14" ht="15" customHeight="1">
      <c r="A163" s="227"/>
      <c r="H163" s="232"/>
      <c r="I163" s="232"/>
      <c r="N163" s="231"/>
    </row>
    <row r="164" spans="1:14" ht="15" customHeight="1">
      <c r="A164" s="227"/>
      <c r="H164" s="232"/>
      <c r="I164" s="232"/>
      <c r="N164" s="231"/>
    </row>
    <row r="165" spans="1:14" ht="15" customHeight="1">
      <c r="A165" s="227"/>
      <c r="H165" s="232"/>
      <c r="I165" s="232"/>
      <c r="N165" s="231"/>
    </row>
    <row r="166" spans="1:14" ht="15" customHeight="1">
      <c r="A166" s="227"/>
      <c r="H166" s="232"/>
      <c r="I166" s="232"/>
      <c r="N166" s="231"/>
    </row>
    <row r="167" spans="1:14" ht="15" customHeight="1">
      <c r="A167" s="227"/>
      <c r="H167" s="232"/>
      <c r="I167" s="232"/>
      <c r="N167" s="231"/>
    </row>
    <row r="168" spans="1:14" ht="15" customHeight="1">
      <c r="A168" s="227"/>
      <c r="H168" s="232"/>
      <c r="I168" s="232"/>
    </row>
    <row r="169" spans="1:14" ht="15" customHeight="1">
      <c r="A169" s="227"/>
      <c r="H169" s="232"/>
      <c r="I169" s="232"/>
    </row>
    <row r="170" spans="1:14" ht="15" customHeight="1">
      <c r="A170" s="227"/>
      <c r="H170" s="232"/>
      <c r="I170" s="232"/>
    </row>
    <row r="171" spans="1:14" ht="15" customHeight="1">
      <c r="A171" s="227"/>
      <c r="H171" s="232"/>
      <c r="I171" s="232"/>
    </row>
    <row r="172" spans="1:14" ht="15" customHeight="1">
      <c r="A172" s="227"/>
      <c r="H172" s="232"/>
      <c r="I172" s="232"/>
    </row>
    <row r="173" spans="1:14" ht="15" customHeight="1">
      <c r="A173" s="227"/>
      <c r="H173" s="232"/>
      <c r="I173" s="232"/>
    </row>
    <row r="174" spans="1:14" ht="15" customHeight="1">
      <c r="A174" s="227"/>
      <c r="H174" s="232"/>
      <c r="I174" s="232"/>
    </row>
    <row r="175" spans="1:14" ht="15" customHeight="1">
      <c r="A175" s="227"/>
      <c r="H175" s="232"/>
      <c r="I175" s="232"/>
    </row>
    <row r="176" spans="1:14" ht="15" customHeight="1">
      <c r="A176" s="227"/>
      <c r="H176" s="232"/>
      <c r="I176" s="232"/>
    </row>
    <row r="177" spans="1:9" ht="15" customHeight="1">
      <c r="A177" s="227"/>
      <c r="H177" s="232"/>
      <c r="I177" s="232"/>
    </row>
    <row r="178" spans="1:9" ht="15" customHeight="1">
      <c r="A178" s="227"/>
      <c r="H178" s="232"/>
      <c r="I178" s="232"/>
    </row>
    <row r="179" spans="1:9" ht="15" customHeight="1">
      <c r="A179" s="227"/>
      <c r="H179" s="232"/>
      <c r="I179" s="232"/>
    </row>
    <row r="180" spans="1:9" ht="15" customHeight="1">
      <c r="A180" s="227"/>
      <c r="H180" s="232"/>
      <c r="I180" s="232"/>
    </row>
    <row r="181" spans="1:9" ht="15" customHeight="1">
      <c r="A181" s="227"/>
      <c r="H181" s="232"/>
      <c r="I181" s="232"/>
    </row>
    <row r="182" spans="1:9" ht="15" customHeight="1">
      <c r="A182" s="227"/>
      <c r="H182" s="232"/>
      <c r="I182" s="232"/>
    </row>
    <row r="183" spans="1:9" ht="15" customHeight="1">
      <c r="A183" s="227"/>
      <c r="H183" s="232"/>
      <c r="I183" s="232"/>
    </row>
    <row r="184" spans="1:9" ht="15" customHeight="1">
      <c r="A184" s="227"/>
      <c r="H184" s="232"/>
      <c r="I184" s="232"/>
    </row>
    <row r="185" spans="1:9" ht="15" customHeight="1">
      <c r="A185" s="227"/>
      <c r="H185" s="232"/>
      <c r="I185" s="232"/>
    </row>
    <row r="186" spans="1:9" ht="15" customHeight="1">
      <c r="A186" s="227"/>
      <c r="H186" s="232"/>
      <c r="I186" s="232"/>
    </row>
    <row r="187" spans="1:9" ht="15" customHeight="1">
      <c r="A187" s="227"/>
      <c r="H187" s="232"/>
      <c r="I187" s="232"/>
    </row>
    <row r="188" spans="1:9" ht="15" customHeight="1">
      <c r="A188" s="227"/>
      <c r="H188" s="232"/>
      <c r="I188" s="232"/>
    </row>
    <row r="189" spans="1:9" ht="15" customHeight="1">
      <c r="A189" s="227"/>
      <c r="H189" s="232"/>
      <c r="I189" s="232"/>
    </row>
    <row r="190" spans="1:9" ht="15" customHeight="1">
      <c r="A190" s="227"/>
      <c r="H190" s="232"/>
      <c r="I190" s="232"/>
    </row>
    <row r="191" spans="1:9" ht="15" customHeight="1">
      <c r="A191" s="227"/>
      <c r="H191" s="232"/>
      <c r="I191" s="232"/>
    </row>
    <row r="192" spans="1:9" ht="15" customHeight="1">
      <c r="A192" s="227"/>
      <c r="H192" s="232"/>
      <c r="I192" s="232"/>
    </row>
    <row r="193" spans="1:9" ht="15" customHeight="1">
      <c r="A193" s="227"/>
      <c r="H193" s="232"/>
      <c r="I193" s="232"/>
    </row>
    <row r="194" spans="1:9" ht="15" customHeight="1">
      <c r="A194" s="227"/>
      <c r="H194" s="232"/>
      <c r="I194" s="232"/>
    </row>
    <row r="195" spans="1:9" ht="15" customHeight="1">
      <c r="A195" s="227"/>
      <c r="H195" s="232"/>
      <c r="I195" s="232"/>
    </row>
    <row r="196" spans="1:9" ht="15" customHeight="1">
      <c r="A196" s="227"/>
      <c r="H196" s="232"/>
      <c r="I196" s="232"/>
    </row>
    <row r="197" spans="1:9" ht="15" customHeight="1">
      <c r="A197" s="227"/>
      <c r="H197" s="232"/>
      <c r="I197" s="232"/>
    </row>
    <row r="198" spans="1:9" ht="15" customHeight="1">
      <c r="A198" s="227"/>
      <c r="H198" s="232"/>
      <c r="I198" s="232"/>
    </row>
    <row r="199" spans="1:9" ht="15" customHeight="1">
      <c r="A199" s="227"/>
      <c r="H199" s="232"/>
      <c r="I199" s="232"/>
    </row>
    <row r="200" spans="1:9" ht="15" customHeight="1">
      <c r="A200" s="227"/>
      <c r="H200" s="232"/>
      <c r="I200" s="232"/>
    </row>
    <row r="201" spans="1:9" ht="15" customHeight="1">
      <c r="A201" s="227"/>
      <c r="H201" s="232"/>
      <c r="I201" s="232"/>
    </row>
    <row r="202" spans="1:9" ht="15" customHeight="1">
      <c r="A202" s="227"/>
      <c r="H202" s="232"/>
      <c r="I202" s="232"/>
    </row>
    <row r="203" spans="1:9" ht="15" customHeight="1">
      <c r="A203" s="227"/>
      <c r="H203" s="232"/>
      <c r="I203" s="232"/>
    </row>
    <row r="204" spans="1:9" ht="15" customHeight="1">
      <c r="A204" s="227"/>
      <c r="H204" s="232"/>
      <c r="I204" s="232"/>
    </row>
  </sheetData>
  <mergeCells count="1">
    <mergeCell ref="B6:C6"/>
  </mergeCells>
  <hyperlinks>
    <hyperlink ref="F14" r:id="rId1" xr:uid="{00000000-0004-0000-0F00-000000000000}"/>
    <hyperlink ref="G14" r:id="rId2" xr:uid="{00000000-0004-0000-0F00-000001000000}"/>
    <hyperlink ref="E15" r:id="rId3" display=" $                         81.78 " xr:uid="{00000000-0004-0000-0F00-000002000000}"/>
    <hyperlink ref="G16" r:id="rId4" xr:uid="{00000000-0004-0000-0F00-000003000000}"/>
    <hyperlink ref="G17" r:id="rId5" xr:uid="{00000000-0004-0000-0F00-000004000000}"/>
    <hyperlink ref="E20" r:id="rId6" display=" $                         4,188 " xr:uid="{00000000-0004-0000-0F00-000005000000}"/>
    <hyperlink ref="E19" r:id="rId7" display=" $                             667 " xr:uid="{00000000-0004-0000-0F00-000006000000}"/>
    <hyperlink ref="E18" r:id="rId8" display=" $                             116 " xr:uid="{00000000-0004-0000-0F00-000007000000}"/>
    <hyperlink ref="E22" r:id="rId9" display=" $                             698 " xr:uid="{00000000-0004-0000-0F00-000008000000}"/>
    <hyperlink ref="H23" r:id="rId10" display=" $                   759 " xr:uid="{00000000-0004-0000-0F00-000009000000}"/>
    <hyperlink ref="F23" r:id="rId11" xr:uid="{00000000-0004-0000-0F00-00000A000000}"/>
    <hyperlink ref="G23" r:id="rId12" xr:uid="{00000000-0004-0000-0F00-00000B000000}"/>
    <hyperlink ref="G24" r:id="rId13" xr:uid="{00000000-0004-0000-0F00-00000C000000}"/>
    <hyperlink ref="E25" r:id="rId14" display=" $                             155 " xr:uid="{00000000-0004-0000-0F00-00000D000000}"/>
    <hyperlink ref="F27" r:id="rId15" xr:uid="{00000000-0004-0000-0F00-00000E000000}"/>
    <hyperlink ref="G27" r:id="rId16" xr:uid="{00000000-0004-0000-0F00-00000F000000}"/>
    <hyperlink ref="E26" r:id="rId17" display=" $                               85 " xr:uid="{00000000-0004-0000-0F00-000010000000}"/>
    <hyperlink ref="F28" r:id="rId18" xr:uid="{00000000-0004-0000-0F00-000011000000}"/>
    <hyperlink ref="G28" r:id="rId19" xr:uid="{00000000-0004-0000-0F00-000012000000}"/>
    <hyperlink ref="C29" r:id="rId20" xr:uid="{00000000-0004-0000-0F00-000013000000}"/>
    <hyperlink ref="F30" r:id="rId21" xr:uid="{00000000-0004-0000-0F00-000014000000}"/>
    <hyperlink ref="F31" r:id="rId22" xr:uid="{00000000-0004-0000-0F00-000015000000}"/>
    <hyperlink ref="G31" r:id="rId23" xr:uid="{00000000-0004-0000-0F00-000016000000}"/>
    <hyperlink ref="C31" r:id="rId24" xr:uid="{00000000-0004-0000-0F00-000017000000}"/>
    <hyperlink ref="E32" r:id="rId25" display=" $                      147.88 " xr:uid="{00000000-0004-0000-0F00-000018000000}"/>
    <hyperlink ref="E33" r:id="rId26" display=" $                         25.51 " xr:uid="{00000000-0004-0000-0F00-000019000000}"/>
    <hyperlink ref="F34" r:id="rId27" xr:uid="{00000000-0004-0000-0F00-00001A000000}"/>
    <hyperlink ref="G34" r:id="rId28" xr:uid="{00000000-0004-0000-0F00-00001B000000}"/>
    <hyperlink ref="E35" r:id="rId29" display=" $                         443.3 " xr:uid="{00000000-0004-0000-0F00-00001C000000}"/>
    <hyperlink ref="E36" r:id="rId30" display=" $                             190 " xr:uid="{00000000-0004-0000-0F00-00001D000000}"/>
    <hyperlink ref="F36" r:id="rId31" xr:uid="{00000000-0004-0000-0F00-00001E000000}"/>
    <hyperlink ref="E37" r:id="rId32" display=" $                             694 " xr:uid="{00000000-0004-0000-0F00-00001F000000}"/>
    <hyperlink ref="E38" r:id="rId33" display=" $                               25 " xr:uid="{00000000-0004-0000-0F00-000020000000}"/>
    <hyperlink ref="D38" r:id="rId34" xr:uid="{00000000-0004-0000-0F00-000021000000}"/>
    <hyperlink ref="E39" r:id="rId35" display=" $                             131 " xr:uid="{00000000-0004-0000-0F00-000022000000}"/>
    <hyperlink ref="F39" r:id="rId36" xr:uid="{00000000-0004-0000-0F00-000023000000}"/>
    <hyperlink ref="F40" r:id="rId37" xr:uid="{00000000-0004-0000-0F00-000024000000}"/>
    <hyperlink ref="E40" r:id="rId38" display=" $                             142 " xr:uid="{00000000-0004-0000-0F00-000025000000}"/>
    <hyperlink ref="F41" r:id="rId39" xr:uid="{00000000-0004-0000-0F00-000026000000}"/>
    <hyperlink ref="E41" r:id="rId40" display=" $                         22.64 " xr:uid="{00000000-0004-0000-0F00-000027000000}"/>
    <hyperlink ref="F42" r:id="rId41" xr:uid="{00000000-0004-0000-0F00-000028000000}"/>
    <hyperlink ref="E42" r:id="rId42" display=" $                      425.12 " xr:uid="{00000000-0004-0000-0F00-000029000000}"/>
    <hyperlink ref="E43" r:id="rId43" display=" $                             500 " xr:uid="{00000000-0004-0000-0F00-00002A000000}"/>
    <hyperlink ref="E44" r:id="rId44" display=" $                             210 " xr:uid="{00000000-0004-0000-0F00-00002B000000}"/>
  </hyperlinks>
  <pageMargins left="0" right="0" top="0" bottom="0" header="0" footer="0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122"/>
  <sheetViews>
    <sheetView tabSelected="1" workbookViewId="0">
      <pane ySplit="1" topLeftCell="A26" activePane="bottomLeft" state="frozen"/>
      <selection pane="bottomLeft" activeCell="I88" sqref="I88"/>
    </sheetView>
  </sheetViews>
  <sheetFormatPr defaultColWidth="14.42578125" defaultRowHeight="15" customHeight="1"/>
  <cols>
    <col min="1" max="1" width="8.7109375" customWidth="1"/>
    <col min="2" max="2" width="19" customWidth="1"/>
    <col min="3" max="3" width="19.7109375" customWidth="1"/>
    <col min="4" max="4" width="17.7109375" hidden="1" customWidth="1"/>
    <col min="5" max="5" width="47.28515625" customWidth="1"/>
    <col min="6" max="6" width="32" customWidth="1"/>
    <col min="7" max="7" width="23" customWidth="1"/>
    <col min="9" max="9" width="22.28515625" bestFit="1" customWidth="1"/>
    <col min="11" max="11" width="13.85546875" customWidth="1"/>
    <col min="12" max="12" width="16.42578125" customWidth="1"/>
    <col min="13" max="13" width="28" customWidth="1"/>
  </cols>
  <sheetData>
    <row r="1" spans="1:24" ht="33" customHeight="1">
      <c r="A1" s="146" t="s">
        <v>15</v>
      </c>
      <c r="B1" s="149" t="s">
        <v>219</v>
      </c>
      <c r="C1" s="149" t="s">
        <v>220</v>
      </c>
      <c r="D1" s="147" t="s">
        <v>221</v>
      </c>
      <c r="E1" s="147" t="s">
        <v>222</v>
      </c>
      <c r="F1" s="147" t="s">
        <v>223</v>
      </c>
      <c r="G1" s="147" t="s">
        <v>224</v>
      </c>
      <c r="H1" s="214" t="s">
        <v>490</v>
      </c>
      <c r="I1" s="215" t="s">
        <v>491</v>
      </c>
      <c r="J1" s="215" t="s">
        <v>492</v>
      </c>
      <c r="X1" s="255"/>
    </row>
    <row r="2" spans="1:24" ht="15.75">
      <c r="A2" s="5">
        <v>1</v>
      </c>
      <c r="B2" s="128">
        <v>44961</v>
      </c>
      <c r="C2" s="139"/>
      <c r="D2" s="130" t="s">
        <v>321</v>
      </c>
      <c r="E2" s="131" t="s">
        <v>335</v>
      </c>
      <c r="F2" s="156">
        <v>319455470</v>
      </c>
      <c r="G2" s="210" t="s">
        <v>336</v>
      </c>
      <c r="H2" s="156"/>
      <c r="I2" s="156"/>
      <c r="J2" s="156"/>
      <c r="T2" s="130"/>
    </row>
    <row r="3" spans="1:24" ht="15.75">
      <c r="A3" s="9">
        <v>2</v>
      </c>
      <c r="B3" s="136">
        <v>44991</v>
      </c>
      <c r="C3" s="139"/>
      <c r="D3" s="130" t="s">
        <v>321</v>
      </c>
      <c r="E3" s="131" t="s">
        <v>493</v>
      </c>
      <c r="F3" s="156">
        <v>347945562</v>
      </c>
      <c r="G3" s="210" t="s">
        <v>377</v>
      </c>
      <c r="H3" s="156" t="s">
        <v>494</v>
      </c>
      <c r="I3" s="156" t="s">
        <v>495</v>
      </c>
      <c r="J3" s="156"/>
    </row>
    <row r="4" spans="1:24" ht="15.75">
      <c r="A4" s="9">
        <v>3</v>
      </c>
      <c r="B4" s="136">
        <v>45009</v>
      </c>
      <c r="C4" s="139"/>
      <c r="D4" s="130" t="s">
        <v>321</v>
      </c>
      <c r="E4" s="131" t="s">
        <v>397</v>
      </c>
      <c r="F4" s="157">
        <v>771602067332</v>
      </c>
      <c r="G4" s="210" t="s">
        <v>233</v>
      </c>
      <c r="H4" s="156"/>
      <c r="I4" s="156"/>
      <c r="J4" s="156"/>
    </row>
    <row r="5" spans="1:24" ht="15.75">
      <c r="A5" s="9">
        <v>4</v>
      </c>
      <c r="B5" s="188">
        <v>45258</v>
      </c>
      <c r="C5" s="340"/>
      <c r="D5" s="190" t="s">
        <v>321</v>
      </c>
      <c r="E5" s="341" t="s">
        <v>496</v>
      </c>
      <c r="F5" s="342">
        <v>310997685</v>
      </c>
      <c r="G5" s="343" t="s">
        <v>336</v>
      </c>
      <c r="H5" s="156"/>
      <c r="I5" s="156"/>
      <c r="J5" s="156"/>
    </row>
    <row r="6" spans="1:24" ht="15.75">
      <c r="A6" s="9">
        <v>5</v>
      </c>
      <c r="B6" s="344">
        <v>45415</v>
      </c>
      <c r="C6" s="345"/>
      <c r="D6" s="346" t="s">
        <v>321</v>
      </c>
      <c r="E6" s="347" t="s">
        <v>497</v>
      </c>
      <c r="F6" s="348">
        <v>776119041932</v>
      </c>
      <c r="G6" s="349" t="s">
        <v>233</v>
      </c>
      <c r="H6" s="156"/>
      <c r="I6" s="156"/>
      <c r="J6" s="156"/>
    </row>
    <row r="7" spans="1:24" ht="15.75">
      <c r="A7" s="9">
        <v>6</v>
      </c>
      <c r="B7" s="350">
        <v>45414</v>
      </c>
      <c r="C7" s="351"/>
      <c r="D7" s="352" t="s">
        <v>321</v>
      </c>
      <c r="E7" s="353" t="s">
        <v>498</v>
      </c>
      <c r="F7" s="354" t="s">
        <v>499</v>
      </c>
      <c r="G7" s="355" t="s">
        <v>248</v>
      </c>
      <c r="H7" s="156"/>
      <c r="I7" s="156"/>
      <c r="J7" s="156"/>
    </row>
    <row r="8" spans="1:24" ht="15.75">
      <c r="A8" s="9">
        <v>7</v>
      </c>
      <c r="B8" s="350">
        <v>45414</v>
      </c>
      <c r="C8" s="351"/>
      <c r="D8" s="352" t="s">
        <v>321</v>
      </c>
      <c r="E8" s="353" t="s">
        <v>500</v>
      </c>
      <c r="F8" s="354" t="s">
        <v>501</v>
      </c>
      <c r="G8" s="355" t="s">
        <v>248</v>
      </c>
      <c r="H8" s="156"/>
      <c r="I8" s="156"/>
      <c r="J8" s="156"/>
    </row>
    <row r="9" spans="1:24" ht="15.75" customHeight="1">
      <c r="A9" s="9">
        <v>8</v>
      </c>
      <c r="B9" s="356">
        <v>45090</v>
      </c>
      <c r="C9" s="357"/>
      <c r="D9" s="358"/>
      <c r="E9" s="359" t="s">
        <v>502</v>
      </c>
      <c r="F9" s="360" t="s">
        <v>503</v>
      </c>
      <c r="G9" s="361" t="s">
        <v>504</v>
      </c>
      <c r="H9" s="156" t="s">
        <v>494</v>
      </c>
      <c r="I9" s="156" t="s">
        <v>505</v>
      </c>
      <c r="J9" s="156"/>
    </row>
    <row r="10" spans="1:24" ht="15.75" customHeight="1">
      <c r="A10" s="9">
        <v>9</v>
      </c>
      <c r="B10" s="128">
        <v>45470</v>
      </c>
      <c r="C10" s="129"/>
      <c r="D10" s="196"/>
      <c r="E10" s="142" t="s">
        <v>506</v>
      </c>
      <c r="F10" s="385">
        <v>4458076711</v>
      </c>
      <c r="G10" s="198" t="s">
        <v>507</v>
      </c>
      <c r="H10" s="156" t="s">
        <v>494</v>
      </c>
      <c r="I10" s="156" t="s">
        <v>505</v>
      </c>
      <c r="J10" s="156"/>
    </row>
    <row r="11" spans="1:24" ht="15.75" customHeight="1">
      <c r="A11" s="9">
        <v>10</v>
      </c>
      <c r="B11" s="136">
        <v>45468</v>
      </c>
      <c r="C11" s="139"/>
      <c r="D11" s="130"/>
      <c r="E11" s="141" t="s">
        <v>508</v>
      </c>
      <c r="F11" s="354">
        <v>276048539329</v>
      </c>
      <c r="G11" s="137" t="s">
        <v>432</v>
      </c>
      <c r="H11" s="156" t="s">
        <v>494</v>
      </c>
      <c r="I11" s="156" t="s">
        <v>495</v>
      </c>
      <c r="J11" s="156"/>
    </row>
    <row r="12" spans="1:24" ht="15.75" customHeight="1">
      <c r="A12" s="9">
        <v>11</v>
      </c>
      <c r="B12" s="136">
        <v>45468</v>
      </c>
      <c r="C12" s="84"/>
      <c r="D12" s="58"/>
      <c r="E12" s="82" t="s">
        <v>509</v>
      </c>
      <c r="F12" s="354" t="s">
        <v>510</v>
      </c>
      <c r="G12" s="137" t="s">
        <v>248</v>
      </c>
      <c r="H12" s="156" t="s">
        <v>494</v>
      </c>
      <c r="I12" s="156" t="s">
        <v>505</v>
      </c>
      <c r="J12" s="156"/>
    </row>
    <row r="13" spans="1:24" ht="15.75" customHeight="1">
      <c r="A13" s="9">
        <v>12</v>
      </c>
      <c r="B13" s="136">
        <v>45468</v>
      </c>
      <c r="C13" s="84"/>
      <c r="D13" s="58"/>
      <c r="E13" s="82" t="s">
        <v>511</v>
      </c>
      <c r="F13" s="354" t="s">
        <v>512</v>
      </c>
      <c r="G13" s="137" t="s">
        <v>248</v>
      </c>
      <c r="H13" s="156" t="s">
        <v>494</v>
      </c>
      <c r="I13" s="156" t="s">
        <v>495</v>
      </c>
      <c r="J13" s="156"/>
    </row>
    <row r="14" spans="1:24" ht="15.75" customHeight="1">
      <c r="A14" s="9">
        <v>13</v>
      </c>
      <c r="B14" s="136">
        <v>45468</v>
      </c>
      <c r="C14" s="84"/>
      <c r="D14" s="58"/>
      <c r="E14" s="85" t="s">
        <v>513</v>
      </c>
      <c r="F14" s="354">
        <v>275903415435</v>
      </c>
      <c r="G14" s="137" t="s">
        <v>514</v>
      </c>
      <c r="H14" s="156" t="s">
        <v>494</v>
      </c>
      <c r="I14" s="156" t="s">
        <v>505</v>
      </c>
      <c r="J14" s="156"/>
    </row>
    <row r="15" spans="1:24" ht="15.75" customHeight="1">
      <c r="A15" s="9">
        <v>14</v>
      </c>
      <c r="B15" s="136">
        <v>45468</v>
      </c>
      <c r="C15" s="84"/>
      <c r="D15" s="58"/>
      <c r="E15" s="85" t="s">
        <v>515</v>
      </c>
      <c r="F15" s="354" t="s">
        <v>516</v>
      </c>
      <c r="G15" s="137" t="s">
        <v>248</v>
      </c>
      <c r="H15" s="156" t="s">
        <v>494</v>
      </c>
      <c r="I15" s="156" t="s">
        <v>505</v>
      </c>
      <c r="J15" s="156"/>
    </row>
    <row r="16" spans="1:24" ht="15.75" customHeight="1">
      <c r="A16" s="9">
        <v>15</v>
      </c>
      <c r="B16" s="136">
        <v>45468</v>
      </c>
      <c r="C16" s="84"/>
      <c r="D16" s="58"/>
      <c r="E16" s="82" t="s">
        <v>517</v>
      </c>
      <c r="F16" s="386">
        <v>190744886</v>
      </c>
      <c r="G16" s="59" t="s">
        <v>336</v>
      </c>
      <c r="H16" s="156" t="s">
        <v>494</v>
      </c>
      <c r="I16" s="156" t="s">
        <v>505</v>
      </c>
      <c r="J16" s="156"/>
    </row>
    <row r="17" spans="1:10" ht="15.75" customHeight="1">
      <c r="A17" s="9">
        <v>16</v>
      </c>
      <c r="B17" s="136">
        <v>45476</v>
      </c>
      <c r="C17" s="84"/>
      <c r="D17" s="58"/>
      <c r="E17" s="82" t="s">
        <v>518</v>
      </c>
      <c r="F17" s="386">
        <v>4631202166</v>
      </c>
      <c r="G17" s="59" t="s">
        <v>261</v>
      </c>
      <c r="H17" s="156" t="s">
        <v>494</v>
      </c>
      <c r="I17" s="156" t="s">
        <v>505</v>
      </c>
      <c r="J17" s="156"/>
    </row>
    <row r="18" spans="1:10" ht="15.75" customHeight="1">
      <c r="A18" s="187">
        <v>17</v>
      </c>
      <c r="B18" s="188">
        <v>45483</v>
      </c>
      <c r="C18" s="371"/>
      <c r="D18" s="372"/>
      <c r="E18" s="373" t="s">
        <v>519</v>
      </c>
      <c r="F18" s="387">
        <v>9877227474</v>
      </c>
      <c r="G18" s="94" t="s">
        <v>520</v>
      </c>
      <c r="H18" s="156"/>
      <c r="I18" s="156"/>
      <c r="J18" s="156"/>
    </row>
    <row r="19" spans="1:10" ht="15.75" customHeight="1">
      <c r="A19" s="374">
        <v>18</v>
      </c>
      <c r="B19" s="375">
        <v>45492</v>
      </c>
      <c r="C19" s="376"/>
      <c r="D19" s="377"/>
      <c r="E19" s="378" t="s">
        <v>521</v>
      </c>
      <c r="F19" s="384">
        <v>777307072892</v>
      </c>
      <c r="G19" s="379" t="s">
        <v>514</v>
      </c>
      <c r="H19" s="156"/>
      <c r="I19" s="156"/>
      <c r="J19" s="156"/>
    </row>
    <row r="20" spans="1:10" ht="15.75" customHeight="1">
      <c r="A20" s="381">
        <v>19</v>
      </c>
      <c r="B20" s="362">
        <v>45495</v>
      </c>
      <c r="C20" s="363"/>
      <c r="D20" s="364"/>
      <c r="E20" s="368" t="s">
        <v>522</v>
      </c>
      <c r="F20" s="382">
        <v>7123318451</v>
      </c>
      <c r="G20" s="367" t="s">
        <v>261</v>
      </c>
      <c r="H20" s="156"/>
      <c r="I20" s="156"/>
      <c r="J20" s="156"/>
    </row>
    <row r="21" spans="1:10" ht="15" customHeight="1">
      <c r="A21" s="381">
        <v>20</v>
      </c>
      <c r="B21" s="362">
        <v>45512</v>
      </c>
      <c r="C21" s="363"/>
      <c r="D21" s="364"/>
      <c r="E21" s="368" t="s">
        <v>523</v>
      </c>
      <c r="F21" s="382">
        <v>231717763</v>
      </c>
      <c r="G21" s="367" t="s">
        <v>336</v>
      </c>
      <c r="H21" s="156"/>
      <c r="I21" s="156"/>
      <c r="J21" s="156"/>
    </row>
    <row r="22" spans="1:10" ht="15" customHeight="1">
      <c r="A22" s="381">
        <v>21</v>
      </c>
      <c r="B22" s="362">
        <v>45370</v>
      </c>
      <c r="C22" s="369"/>
      <c r="D22" s="370" t="s">
        <v>321</v>
      </c>
      <c r="E22" s="365" t="s">
        <v>524</v>
      </c>
      <c r="F22" s="383" t="s">
        <v>525</v>
      </c>
      <c r="G22" s="366" t="s">
        <v>248</v>
      </c>
      <c r="H22" s="156" t="s">
        <v>494</v>
      </c>
      <c r="I22" s="156" t="s">
        <v>505</v>
      </c>
      <c r="J22" s="156"/>
    </row>
    <row r="23" spans="1:10" ht="15" customHeight="1">
      <c r="A23" s="381">
        <v>22</v>
      </c>
      <c r="B23" s="362">
        <v>45415</v>
      </c>
      <c r="C23" s="369"/>
      <c r="D23" s="370" t="s">
        <v>321</v>
      </c>
      <c r="E23" s="365" t="s">
        <v>526</v>
      </c>
      <c r="F23" s="383">
        <v>274039800525</v>
      </c>
      <c r="G23" s="366" t="s">
        <v>233</v>
      </c>
      <c r="H23" s="156"/>
      <c r="I23" s="156"/>
      <c r="J23" s="156"/>
    </row>
    <row r="24" spans="1:10" ht="15" customHeight="1">
      <c r="A24" s="381">
        <v>23</v>
      </c>
      <c r="B24" s="362">
        <v>45417</v>
      </c>
      <c r="C24" s="369"/>
      <c r="D24" s="370" t="s">
        <v>321</v>
      </c>
      <c r="E24" s="365" t="s">
        <v>527</v>
      </c>
      <c r="F24" s="383">
        <v>776142382571</v>
      </c>
      <c r="G24" s="366" t="s">
        <v>233</v>
      </c>
      <c r="H24" s="156"/>
      <c r="I24" s="156"/>
      <c r="J24" s="156"/>
    </row>
    <row r="25" spans="1:10" ht="15" customHeight="1">
      <c r="A25" s="381">
        <v>24</v>
      </c>
      <c r="B25" s="362">
        <v>45417</v>
      </c>
      <c r="C25" s="369"/>
      <c r="D25" s="370" t="s">
        <v>321</v>
      </c>
      <c r="E25" s="365" t="s">
        <v>528</v>
      </c>
      <c r="F25" s="383">
        <v>775948422355</v>
      </c>
      <c r="G25" s="366" t="s">
        <v>233</v>
      </c>
      <c r="H25" s="156"/>
      <c r="I25" s="156"/>
      <c r="J25" s="156"/>
    </row>
    <row r="26" spans="1:10" ht="15" customHeight="1">
      <c r="A26" s="381">
        <v>25</v>
      </c>
      <c r="B26" s="362">
        <v>45417</v>
      </c>
      <c r="C26" s="369"/>
      <c r="D26" s="370" t="s">
        <v>321</v>
      </c>
      <c r="E26" s="365" t="s">
        <v>529</v>
      </c>
      <c r="F26" s="383">
        <v>35542576016</v>
      </c>
      <c r="G26" s="366" t="s">
        <v>520</v>
      </c>
      <c r="H26" s="156"/>
      <c r="I26" s="156"/>
      <c r="J26" s="156"/>
    </row>
    <row r="27" spans="1:10" ht="15" customHeight="1">
      <c r="A27" s="381">
        <v>26</v>
      </c>
      <c r="B27" s="362">
        <v>45432</v>
      </c>
      <c r="C27" s="369"/>
      <c r="D27" s="370"/>
      <c r="E27" s="365" t="s">
        <v>530</v>
      </c>
      <c r="F27" s="383" t="s">
        <v>531</v>
      </c>
      <c r="G27" s="366" t="s">
        <v>248</v>
      </c>
      <c r="H27" s="156" t="s">
        <v>494</v>
      </c>
      <c r="I27" s="156" t="s">
        <v>505</v>
      </c>
      <c r="J27" s="156"/>
    </row>
    <row r="28" spans="1:10" ht="15" customHeight="1">
      <c r="A28" s="381">
        <v>27</v>
      </c>
      <c r="B28" s="362">
        <v>45434</v>
      </c>
      <c r="C28" s="369"/>
      <c r="D28" s="370"/>
      <c r="E28" s="365" t="s">
        <v>532</v>
      </c>
      <c r="F28" s="383">
        <v>162002260</v>
      </c>
      <c r="G28" s="366" t="s">
        <v>336</v>
      </c>
      <c r="H28" s="156"/>
      <c r="I28" s="156"/>
      <c r="J28" s="156"/>
    </row>
    <row r="29" spans="1:10" ht="15" customHeight="1">
      <c r="A29" s="381">
        <v>28</v>
      </c>
      <c r="B29" s="362"/>
      <c r="C29" s="369">
        <v>45436</v>
      </c>
      <c r="D29" s="370"/>
      <c r="E29" s="365" t="s">
        <v>533</v>
      </c>
      <c r="F29" s="383"/>
      <c r="G29" s="366" t="s">
        <v>295</v>
      </c>
      <c r="H29" s="156"/>
      <c r="I29" s="156"/>
      <c r="J29" s="156"/>
    </row>
    <row r="30" spans="1:10" ht="15" customHeight="1">
      <c r="A30" s="381">
        <v>29</v>
      </c>
      <c r="B30" s="362">
        <v>45453</v>
      </c>
      <c r="C30" s="369"/>
      <c r="D30" s="370"/>
      <c r="E30" s="365" t="s">
        <v>534</v>
      </c>
      <c r="F30" s="383" t="s">
        <v>535</v>
      </c>
      <c r="G30" s="366" t="s">
        <v>248</v>
      </c>
      <c r="H30" s="156"/>
      <c r="I30" s="156"/>
      <c r="J30" s="156"/>
    </row>
    <row r="31" spans="1:10" ht="15" customHeight="1">
      <c r="A31" s="381">
        <v>30</v>
      </c>
      <c r="B31" s="362">
        <v>45453</v>
      </c>
      <c r="C31" s="369"/>
      <c r="D31" s="370"/>
      <c r="E31" s="365" t="s">
        <v>536</v>
      </c>
      <c r="F31" s="383" t="s">
        <v>537</v>
      </c>
      <c r="G31" s="366" t="s">
        <v>248</v>
      </c>
      <c r="H31" s="156" t="s">
        <v>494</v>
      </c>
      <c r="I31" s="156" t="s">
        <v>505</v>
      </c>
      <c r="J31" s="156"/>
    </row>
    <row r="32" spans="1:10" ht="15" customHeight="1">
      <c r="A32" s="381">
        <v>31</v>
      </c>
      <c r="B32" s="362">
        <v>45453</v>
      </c>
      <c r="C32" s="369"/>
      <c r="D32" s="370"/>
      <c r="E32" s="365" t="s">
        <v>538</v>
      </c>
      <c r="F32" s="383">
        <v>174850930</v>
      </c>
      <c r="G32" s="366" t="s">
        <v>336</v>
      </c>
      <c r="H32" s="156"/>
      <c r="I32" s="156"/>
      <c r="J32" s="156"/>
    </row>
    <row r="33" spans="1:10" ht="15" customHeight="1">
      <c r="A33" s="381">
        <v>32</v>
      </c>
      <c r="B33" s="362">
        <v>45453</v>
      </c>
      <c r="C33" s="369"/>
      <c r="D33" s="370"/>
      <c r="E33" s="365" t="s">
        <v>539</v>
      </c>
      <c r="F33" s="383">
        <v>275571980778</v>
      </c>
      <c r="G33" s="366" t="s">
        <v>432</v>
      </c>
      <c r="H33" s="156" t="s">
        <v>494</v>
      </c>
      <c r="I33" s="156" t="s">
        <v>505</v>
      </c>
      <c r="J33" s="156"/>
    </row>
    <row r="34" spans="1:10" ht="15" customHeight="1">
      <c r="A34" s="381">
        <v>33</v>
      </c>
      <c r="B34" s="362">
        <v>45453</v>
      </c>
      <c r="C34" s="369"/>
      <c r="D34" s="370"/>
      <c r="E34" s="365" t="s">
        <v>540</v>
      </c>
      <c r="F34" s="383">
        <v>776562951457</v>
      </c>
      <c r="G34" s="366" t="s">
        <v>432</v>
      </c>
      <c r="H34" s="156"/>
      <c r="I34" s="156"/>
      <c r="J34" s="156"/>
    </row>
    <row r="35" spans="1:10" ht="15" customHeight="1">
      <c r="A35" s="381">
        <v>34</v>
      </c>
      <c r="B35" s="362">
        <v>45453</v>
      </c>
      <c r="C35" s="369"/>
      <c r="D35" s="370"/>
      <c r="E35" s="365" t="s">
        <v>541</v>
      </c>
      <c r="F35" s="383">
        <v>776570817479</v>
      </c>
      <c r="G35" s="366" t="s">
        <v>432</v>
      </c>
      <c r="H35" s="156" t="s">
        <v>494</v>
      </c>
      <c r="I35" s="156" t="s">
        <v>505</v>
      </c>
      <c r="J35" s="156"/>
    </row>
    <row r="36" spans="1:10" ht="15" customHeight="1">
      <c r="A36" s="381">
        <v>35</v>
      </c>
      <c r="B36" s="362">
        <v>45517</v>
      </c>
      <c r="C36" s="363"/>
      <c r="D36" s="364"/>
      <c r="E36" s="368" t="s">
        <v>542</v>
      </c>
      <c r="F36" s="382" t="s">
        <v>543</v>
      </c>
      <c r="G36" s="367" t="s">
        <v>233</v>
      </c>
      <c r="H36" s="156"/>
      <c r="I36" s="156"/>
      <c r="J36" s="156"/>
    </row>
    <row r="37" spans="1:10" ht="15" customHeight="1">
      <c r="A37" s="391">
        <v>36</v>
      </c>
      <c r="B37" s="405">
        <v>45517</v>
      </c>
      <c r="C37" s="392"/>
      <c r="D37" s="393"/>
      <c r="E37" s="394" t="s">
        <v>544</v>
      </c>
      <c r="F37" s="395" t="s">
        <v>545</v>
      </c>
      <c r="G37" s="396" t="s">
        <v>233</v>
      </c>
      <c r="H37" s="156"/>
      <c r="I37" s="156"/>
      <c r="J37" s="156"/>
    </row>
    <row r="38" spans="1:10" ht="15.75">
      <c r="A38" s="421">
        <v>41</v>
      </c>
      <c r="B38" s="414">
        <v>45546</v>
      </c>
      <c r="C38" s="376"/>
      <c r="D38" s="377"/>
      <c r="E38" s="400" t="s">
        <v>546</v>
      </c>
      <c r="F38" s="384">
        <v>194072620360142</v>
      </c>
      <c r="G38" s="413" t="s">
        <v>547</v>
      </c>
      <c r="H38" s="156"/>
      <c r="I38" s="156"/>
      <c r="J38" s="156"/>
    </row>
    <row r="39" spans="1:10" ht="15.75">
      <c r="A39" s="416">
        <v>42</v>
      </c>
      <c r="B39" s="414">
        <v>45546</v>
      </c>
      <c r="C39" s="363"/>
      <c r="D39" s="364"/>
      <c r="E39" s="368" t="s">
        <v>546</v>
      </c>
      <c r="F39" s="383">
        <v>194072621160142</v>
      </c>
      <c r="G39" s="389" t="s">
        <v>547</v>
      </c>
      <c r="H39" s="156"/>
      <c r="I39" s="156"/>
      <c r="J39" s="156"/>
    </row>
    <row r="40" spans="1:10" ht="15.75">
      <c r="A40" s="416">
        <v>43</v>
      </c>
      <c r="B40" s="414">
        <v>45546</v>
      </c>
      <c r="C40" s="363"/>
      <c r="D40" s="364"/>
      <c r="E40" s="368" t="s">
        <v>546</v>
      </c>
      <c r="F40" s="383">
        <v>194072619360142</v>
      </c>
      <c r="G40" s="389" t="s">
        <v>547</v>
      </c>
      <c r="H40" s="156"/>
      <c r="I40" s="156"/>
      <c r="J40" s="156"/>
    </row>
    <row r="41" spans="1:10" ht="15.75">
      <c r="A41" s="416">
        <v>44</v>
      </c>
      <c r="B41" s="414">
        <v>45546</v>
      </c>
      <c r="C41" s="363"/>
      <c r="D41" s="364"/>
      <c r="E41" s="368" t="s">
        <v>546</v>
      </c>
      <c r="F41" s="383">
        <v>194072620960142</v>
      </c>
      <c r="G41" s="389" t="s">
        <v>547</v>
      </c>
      <c r="H41" s="156"/>
      <c r="I41" s="156"/>
      <c r="J41" s="156"/>
    </row>
    <row r="42" spans="1:10" ht="15.75">
      <c r="A42" s="416">
        <v>45</v>
      </c>
      <c r="B42" s="414">
        <v>45544</v>
      </c>
      <c r="C42" s="363"/>
      <c r="D42" s="364"/>
      <c r="E42" s="368" t="s">
        <v>546</v>
      </c>
      <c r="F42" s="383">
        <v>194072619960142</v>
      </c>
      <c r="G42" s="389" t="s">
        <v>547</v>
      </c>
      <c r="H42" s="156"/>
      <c r="I42" s="156"/>
      <c r="J42" s="156"/>
    </row>
    <row r="43" spans="1:10" ht="15.75">
      <c r="A43" s="416">
        <v>46</v>
      </c>
      <c r="B43" s="414">
        <v>45546</v>
      </c>
      <c r="C43" s="363"/>
      <c r="D43" s="364"/>
      <c r="E43" s="368" t="s">
        <v>546</v>
      </c>
      <c r="F43" s="383">
        <v>194072618960142</v>
      </c>
      <c r="G43" s="389" t="s">
        <v>547</v>
      </c>
      <c r="H43" s="156"/>
      <c r="I43" s="156"/>
      <c r="J43" s="156"/>
    </row>
    <row r="44" spans="1:10" ht="15" customHeight="1">
      <c r="A44" s="416">
        <v>48</v>
      </c>
      <c r="B44" s="415"/>
      <c r="C44" s="363"/>
      <c r="D44" s="364"/>
      <c r="E44" s="368" t="s">
        <v>548</v>
      </c>
      <c r="F44" s="383" t="s">
        <v>549</v>
      </c>
      <c r="G44" s="367" t="s">
        <v>233</v>
      </c>
      <c r="H44" s="156"/>
      <c r="I44" s="156"/>
      <c r="J44" s="156"/>
    </row>
    <row r="45" spans="1:10" ht="15" customHeight="1">
      <c r="A45" s="416">
        <v>49</v>
      </c>
      <c r="B45" s="415"/>
      <c r="C45" s="363"/>
      <c r="D45" s="364"/>
      <c r="E45" s="368" t="s">
        <v>550</v>
      </c>
      <c r="F45" s="383" t="s">
        <v>551</v>
      </c>
      <c r="G45" s="367" t="s">
        <v>233</v>
      </c>
      <c r="H45" s="156"/>
      <c r="I45" s="156"/>
      <c r="J45" s="156"/>
    </row>
    <row r="46" spans="1:10" ht="15" customHeight="1">
      <c r="A46" s="416">
        <v>50</v>
      </c>
      <c r="B46" s="415"/>
      <c r="C46" s="363"/>
      <c r="D46" s="364"/>
      <c r="E46" s="368" t="s">
        <v>552</v>
      </c>
      <c r="F46" s="383" t="s">
        <v>553</v>
      </c>
      <c r="G46" s="367" t="s">
        <v>233</v>
      </c>
      <c r="H46" s="156"/>
      <c r="I46" s="156"/>
      <c r="J46" s="156"/>
    </row>
    <row r="47" spans="1:10" ht="15" customHeight="1">
      <c r="A47" s="416">
        <v>51</v>
      </c>
      <c r="B47" s="415"/>
      <c r="C47" s="363"/>
      <c r="D47" s="364"/>
      <c r="E47" s="368" t="s">
        <v>554</v>
      </c>
      <c r="F47" s="383" t="s">
        <v>555</v>
      </c>
      <c r="G47" s="367" t="s">
        <v>233</v>
      </c>
      <c r="H47" s="156"/>
      <c r="I47" s="156"/>
      <c r="J47" s="156"/>
    </row>
    <row r="48" spans="1:10" ht="15" customHeight="1">
      <c r="A48" s="425">
        <v>52</v>
      </c>
      <c r="B48" s="426"/>
      <c r="C48" s="392"/>
      <c r="D48" s="393"/>
      <c r="E48" s="394" t="s">
        <v>556</v>
      </c>
      <c r="F48" s="427" t="s">
        <v>557</v>
      </c>
      <c r="G48" s="396" t="s">
        <v>233</v>
      </c>
      <c r="H48" s="156"/>
      <c r="I48" s="156"/>
      <c r="J48" s="156"/>
    </row>
    <row r="49" spans="1:10" ht="15" customHeight="1">
      <c r="A49" s="374">
        <v>55</v>
      </c>
      <c r="B49" s="422"/>
      <c r="C49" s="376">
        <v>45525</v>
      </c>
      <c r="D49" s="377"/>
      <c r="E49" s="400" t="s">
        <v>558</v>
      </c>
      <c r="F49" s="380"/>
      <c r="G49" s="380" t="s">
        <v>295</v>
      </c>
      <c r="H49" s="156"/>
      <c r="I49" s="156"/>
      <c r="J49" s="156"/>
    </row>
    <row r="50" spans="1:10" ht="15" customHeight="1">
      <c r="A50" s="397">
        <v>56</v>
      </c>
      <c r="B50" s="362">
        <v>45553</v>
      </c>
      <c r="C50" s="363"/>
      <c r="D50" s="364"/>
      <c r="E50" s="368" t="s">
        <v>559</v>
      </c>
      <c r="F50" s="367">
        <v>256928162</v>
      </c>
      <c r="G50" s="367" t="s">
        <v>377</v>
      </c>
      <c r="H50" s="156" t="s">
        <v>494</v>
      </c>
      <c r="I50" s="156" t="s">
        <v>495</v>
      </c>
      <c r="J50" s="156" t="s">
        <v>560</v>
      </c>
    </row>
    <row r="51" spans="1:10" ht="15" customHeight="1">
      <c r="A51" s="381">
        <v>57</v>
      </c>
      <c r="B51" s="362">
        <v>45565</v>
      </c>
      <c r="C51" s="363"/>
      <c r="D51" s="364"/>
      <c r="E51" s="368" t="s">
        <v>561</v>
      </c>
      <c r="F51" s="367">
        <v>272725340</v>
      </c>
      <c r="G51" s="367" t="s">
        <v>336</v>
      </c>
      <c r="H51" s="156"/>
      <c r="J51" s="156" t="s">
        <v>562</v>
      </c>
    </row>
    <row r="52" spans="1:10" ht="15" customHeight="1">
      <c r="A52" s="397">
        <v>58</v>
      </c>
      <c r="B52" s="390"/>
      <c r="C52" s="363"/>
      <c r="D52" s="364"/>
      <c r="E52" s="368" t="s">
        <v>563</v>
      </c>
      <c r="F52" s="367" t="s">
        <v>564</v>
      </c>
      <c r="G52" s="367"/>
      <c r="H52" s="156"/>
      <c r="I52" s="156"/>
      <c r="J52" s="156"/>
    </row>
    <row r="53" spans="1:10" ht="15" customHeight="1">
      <c r="A53" s="423">
        <v>59</v>
      </c>
      <c r="B53" s="424"/>
      <c r="C53" s="401"/>
      <c r="D53" s="402"/>
      <c r="E53" s="403" t="s">
        <v>565</v>
      </c>
      <c r="F53" s="404" t="s">
        <v>566</v>
      </c>
      <c r="G53" s="404"/>
      <c r="H53" s="156"/>
      <c r="I53" s="156"/>
      <c r="J53" s="156"/>
    </row>
    <row r="54" spans="1:10" ht="15" customHeight="1">
      <c r="A54" s="417">
        <v>60</v>
      </c>
      <c r="B54" s="406" t="s">
        <v>567</v>
      </c>
      <c r="C54" s="407"/>
      <c r="D54" s="408"/>
      <c r="E54" s="409" t="s">
        <v>568</v>
      </c>
      <c r="F54" s="410" t="s">
        <v>569</v>
      </c>
      <c r="G54" s="411" t="s">
        <v>570</v>
      </c>
      <c r="H54" s="156"/>
      <c r="I54" s="156"/>
      <c r="J54" s="156"/>
    </row>
    <row r="55" spans="1:10" ht="15" customHeight="1">
      <c r="A55" s="397">
        <v>61</v>
      </c>
      <c r="B55" s="362" t="s">
        <v>567</v>
      </c>
      <c r="C55" s="363"/>
      <c r="D55" s="364"/>
      <c r="E55" s="368" t="s">
        <v>571</v>
      </c>
      <c r="F55" s="388">
        <v>34714210635</v>
      </c>
      <c r="G55" s="366" t="s">
        <v>520</v>
      </c>
      <c r="H55" s="156"/>
      <c r="I55" s="156"/>
      <c r="J55" s="156"/>
    </row>
    <row r="56" spans="1:10" ht="15" customHeight="1">
      <c r="A56" s="397">
        <v>62</v>
      </c>
      <c r="B56" s="418"/>
      <c r="C56" s="419"/>
      <c r="D56" s="420"/>
      <c r="E56" s="368" t="s">
        <v>572</v>
      </c>
      <c r="F56" s="367" t="s">
        <v>573</v>
      </c>
      <c r="G56" s="412"/>
      <c r="H56" s="156"/>
      <c r="I56" s="156"/>
      <c r="J56" s="156"/>
    </row>
    <row r="57" spans="1:10" ht="15" customHeight="1">
      <c r="A57" s="397">
        <v>63</v>
      </c>
      <c r="B57" s="362"/>
      <c r="C57" s="363"/>
      <c r="D57" s="364"/>
      <c r="E57" s="368" t="s">
        <v>574</v>
      </c>
      <c r="F57" s="367" t="s">
        <v>575</v>
      </c>
      <c r="G57" s="367"/>
      <c r="H57" s="156"/>
      <c r="I57" s="156"/>
      <c r="J57" s="156"/>
    </row>
    <row r="58" spans="1:10" ht="15" customHeight="1">
      <c r="A58" s="397">
        <v>64</v>
      </c>
      <c r="B58" s="362"/>
      <c r="C58" s="363"/>
      <c r="D58" s="364"/>
      <c r="E58" s="368" t="s">
        <v>576</v>
      </c>
      <c r="F58" s="367" t="s">
        <v>577</v>
      </c>
      <c r="G58" s="367"/>
      <c r="H58" s="156"/>
      <c r="I58" s="156"/>
      <c r="J58" s="156"/>
    </row>
    <row r="59" spans="1:10" ht="15" customHeight="1">
      <c r="A59" s="397">
        <v>65</v>
      </c>
      <c r="B59" s="362"/>
      <c r="C59" s="363"/>
      <c r="D59" s="364"/>
      <c r="E59" s="368" t="s">
        <v>578</v>
      </c>
      <c r="F59" s="367" t="s">
        <v>579</v>
      </c>
      <c r="G59" s="367"/>
      <c r="H59" s="156"/>
      <c r="I59" s="156"/>
      <c r="J59" s="156"/>
    </row>
    <row r="60" spans="1:10" ht="15" customHeight="1">
      <c r="A60" s="397">
        <v>66</v>
      </c>
      <c r="B60" s="362">
        <v>45586</v>
      </c>
      <c r="C60" s="286"/>
      <c r="D60" s="286"/>
      <c r="E60" s="368" t="s">
        <v>580</v>
      </c>
      <c r="F60" s="367">
        <v>294576449</v>
      </c>
      <c r="G60" s="337" t="s">
        <v>336</v>
      </c>
      <c r="H60" s="156"/>
      <c r="I60" s="156"/>
      <c r="J60" s="156" t="s">
        <v>560</v>
      </c>
    </row>
    <row r="61" spans="1:10" ht="15" customHeight="1">
      <c r="A61" s="397">
        <v>67</v>
      </c>
      <c r="B61" s="362">
        <v>45588</v>
      </c>
      <c r="C61" s="286"/>
      <c r="D61" s="286"/>
      <c r="E61" s="368" t="s">
        <v>581</v>
      </c>
      <c r="F61" s="428" t="s">
        <v>582</v>
      </c>
      <c r="G61" s="337" t="s">
        <v>432</v>
      </c>
      <c r="H61" s="156"/>
      <c r="I61" s="156"/>
      <c r="J61" s="156" t="s">
        <v>560</v>
      </c>
    </row>
    <row r="62" spans="1:10" ht="15" customHeight="1">
      <c r="A62" s="397">
        <v>68</v>
      </c>
      <c r="B62" s="362">
        <v>45607</v>
      </c>
      <c r="C62" s="286"/>
      <c r="D62" s="286"/>
      <c r="E62" s="368" t="s">
        <v>583</v>
      </c>
      <c r="F62" s="428" t="s">
        <v>584</v>
      </c>
      <c r="G62" s="286"/>
      <c r="H62" s="156"/>
      <c r="I62" s="156"/>
      <c r="J62" s="156"/>
    </row>
    <row r="63" spans="1:10" ht="15" customHeight="1">
      <c r="A63" s="397">
        <v>69</v>
      </c>
      <c r="B63" s="362">
        <v>45608</v>
      </c>
      <c r="C63" s="286"/>
      <c r="D63" s="286"/>
      <c r="E63" s="368" t="s">
        <v>585</v>
      </c>
      <c r="F63" s="388">
        <v>779740008452</v>
      </c>
      <c r="G63" s="337" t="s">
        <v>233</v>
      </c>
      <c r="I63" s="156"/>
      <c r="J63" s="156" t="s">
        <v>560</v>
      </c>
    </row>
    <row r="64" spans="1:10" ht="15" customHeight="1">
      <c r="A64" s="397"/>
      <c r="B64" s="362"/>
      <c r="C64" s="286"/>
      <c r="D64" s="286"/>
      <c r="E64" s="368"/>
      <c r="F64" s="286"/>
      <c r="G64" s="286"/>
      <c r="J64" s="156"/>
    </row>
    <row r="65" spans="1:7" ht="15" customHeight="1">
      <c r="A65" s="398"/>
      <c r="B65" s="362"/>
      <c r="C65" s="286"/>
      <c r="D65" s="286"/>
      <c r="E65" s="286"/>
      <c r="F65" s="286"/>
      <c r="G65" s="286"/>
    </row>
    <row r="66" spans="1:7" ht="15" customHeight="1">
      <c r="A66" s="398"/>
      <c r="B66" s="362"/>
      <c r="C66" s="286"/>
      <c r="D66" s="286"/>
      <c r="E66" s="286"/>
      <c r="F66" s="286"/>
      <c r="G66" s="286"/>
    </row>
    <row r="67" spans="1:7" ht="15" customHeight="1">
      <c r="A67" s="398"/>
      <c r="B67" s="286"/>
      <c r="C67" s="286"/>
      <c r="D67" s="286"/>
      <c r="E67" s="286"/>
      <c r="F67" s="286"/>
      <c r="G67" s="286"/>
    </row>
    <row r="68" spans="1:7" ht="15" customHeight="1">
      <c r="A68" s="398"/>
      <c r="B68" s="286"/>
      <c r="C68" s="286"/>
      <c r="D68" s="286"/>
      <c r="E68" s="286"/>
      <c r="F68" s="286"/>
      <c r="G68" s="286"/>
    </row>
    <row r="69" spans="1:7" ht="15" customHeight="1">
      <c r="A69" s="398"/>
      <c r="B69" s="286"/>
      <c r="C69" s="286"/>
      <c r="D69" s="286"/>
      <c r="E69" s="286"/>
      <c r="F69" s="286"/>
      <c r="G69" s="286"/>
    </row>
    <row r="70" spans="1:7" ht="15" customHeight="1">
      <c r="A70" s="398"/>
      <c r="B70" s="286"/>
      <c r="C70" s="286"/>
      <c r="D70" s="286"/>
      <c r="E70" s="286"/>
      <c r="F70" s="286"/>
      <c r="G70" s="286"/>
    </row>
    <row r="71" spans="1:7" ht="15" customHeight="1">
      <c r="A71" s="398"/>
      <c r="B71" s="286"/>
      <c r="C71" s="286"/>
      <c r="D71" s="286"/>
      <c r="E71" s="286"/>
      <c r="F71" s="286"/>
      <c r="G71" s="286"/>
    </row>
    <row r="72" spans="1:7" ht="15" customHeight="1">
      <c r="A72" s="398"/>
      <c r="B72" s="286"/>
      <c r="C72" s="286"/>
      <c r="D72" s="286"/>
      <c r="E72" s="286"/>
      <c r="F72" s="286"/>
      <c r="G72" s="286"/>
    </row>
    <row r="73" spans="1:7" ht="15" customHeight="1">
      <c r="A73" s="398"/>
      <c r="B73" s="286"/>
      <c r="C73" s="286"/>
      <c r="D73" s="286"/>
      <c r="E73" s="286"/>
      <c r="F73" s="286"/>
      <c r="G73" s="286"/>
    </row>
    <row r="74" spans="1:7" ht="15" customHeight="1">
      <c r="A74" s="398"/>
      <c r="B74" s="286"/>
      <c r="C74" s="286"/>
      <c r="D74" s="286"/>
      <c r="E74" s="286"/>
      <c r="F74" s="286"/>
      <c r="G74" s="286"/>
    </row>
    <row r="75" spans="1:7" ht="15" customHeight="1">
      <c r="A75" s="398"/>
      <c r="B75" s="286"/>
      <c r="C75" s="286"/>
      <c r="D75" s="286"/>
      <c r="E75" s="286"/>
      <c r="F75" s="286"/>
      <c r="G75" s="286"/>
    </row>
    <row r="76" spans="1:7" ht="15" customHeight="1">
      <c r="A76" s="398"/>
      <c r="B76" s="286"/>
      <c r="C76" s="286"/>
      <c r="D76" s="286"/>
      <c r="E76" s="286"/>
      <c r="F76" s="286"/>
      <c r="G76" s="286"/>
    </row>
    <row r="77" spans="1:7" ht="15" customHeight="1">
      <c r="A77" s="398"/>
      <c r="B77" s="286"/>
      <c r="C77" s="286"/>
      <c r="D77" s="286"/>
      <c r="E77" s="286"/>
      <c r="F77" s="286"/>
      <c r="G77" s="286"/>
    </row>
    <row r="78" spans="1:7" ht="15" customHeight="1">
      <c r="A78" s="398"/>
      <c r="B78" s="286"/>
      <c r="C78" s="286"/>
      <c r="D78" s="286"/>
      <c r="E78" s="286"/>
      <c r="F78" s="286"/>
      <c r="G78" s="286"/>
    </row>
    <row r="79" spans="1:7" ht="15" customHeight="1">
      <c r="A79" s="398"/>
      <c r="B79" s="286"/>
      <c r="C79" s="286"/>
      <c r="D79" s="286"/>
      <c r="E79" s="286"/>
      <c r="F79" s="286"/>
      <c r="G79" s="286"/>
    </row>
    <row r="80" spans="1:7" ht="15" customHeight="1">
      <c r="A80" s="398"/>
      <c r="B80" s="286"/>
      <c r="C80" s="286"/>
      <c r="D80" s="286"/>
      <c r="E80" s="286"/>
      <c r="F80" s="286"/>
      <c r="G80" s="286"/>
    </row>
    <row r="81" spans="1:7" ht="15" customHeight="1">
      <c r="A81" s="398"/>
      <c r="B81" s="286"/>
      <c r="C81" s="286"/>
      <c r="D81" s="286"/>
      <c r="E81" s="286"/>
      <c r="F81" s="286"/>
      <c r="G81" s="286"/>
    </row>
    <row r="82" spans="1:7" ht="15" customHeight="1">
      <c r="A82" s="398"/>
      <c r="B82" s="286"/>
      <c r="C82" s="286"/>
      <c r="D82" s="286"/>
      <c r="E82" s="286"/>
      <c r="F82" s="286"/>
      <c r="G82" s="286"/>
    </row>
    <row r="83" spans="1:7" ht="15" customHeight="1">
      <c r="A83" s="398"/>
      <c r="B83" s="286"/>
      <c r="C83" s="286"/>
      <c r="D83" s="286"/>
      <c r="E83" s="286"/>
      <c r="F83" s="286"/>
      <c r="G83" s="286"/>
    </row>
    <row r="84" spans="1:7" ht="15" customHeight="1">
      <c r="A84" s="398"/>
      <c r="B84" s="286"/>
      <c r="C84" s="286"/>
      <c r="D84" s="286"/>
      <c r="E84" s="286"/>
      <c r="F84" s="286"/>
      <c r="G84" s="286"/>
    </row>
    <row r="85" spans="1:7" ht="15" customHeight="1">
      <c r="A85" s="398"/>
      <c r="B85" s="286"/>
      <c r="C85" s="286"/>
      <c r="D85" s="286"/>
      <c r="E85" s="286"/>
      <c r="F85" s="286"/>
      <c r="G85" s="286"/>
    </row>
    <row r="86" spans="1:7" ht="15" customHeight="1">
      <c r="A86" s="398"/>
      <c r="B86" s="286"/>
      <c r="C86" s="286"/>
      <c r="D86" s="286"/>
      <c r="E86" s="286"/>
      <c r="F86" s="286"/>
      <c r="G86" s="286"/>
    </row>
    <row r="87" spans="1:7" ht="15" customHeight="1">
      <c r="A87" s="398"/>
      <c r="B87" s="286"/>
      <c r="C87" s="286"/>
      <c r="D87" s="286"/>
      <c r="E87" s="286"/>
      <c r="F87" s="286"/>
      <c r="G87" s="286"/>
    </row>
    <row r="88" spans="1:7" ht="15" customHeight="1">
      <c r="A88" s="398"/>
      <c r="B88" s="286"/>
      <c r="C88" s="286"/>
      <c r="D88" s="286"/>
      <c r="E88" s="286"/>
      <c r="F88" s="286"/>
      <c r="G88" s="286"/>
    </row>
    <row r="89" spans="1:7" ht="15" customHeight="1">
      <c r="A89" s="398"/>
      <c r="B89" s="286"/>
      <c r="C89" s="286"/>
      <c r="D89" s="286"/>
      <c r="E89" s="286"/>
      <c r="F89" s="286"/>
      <c r="G89" s="286"/>
    </row>
    <row r="90" spans="1:7" ht="15" customHeight="1">
      <c r="A90" s="398"/>
      <c r="B90" s="286"/>
      <c r="C90" s="286"/>
      <c r="D90" s="286"/>
      <c r="E90" s="286"/>
      <c r="F90" s="286"/>
      <c r="G90" s="286"/>
    </row>
    <row r="91" spans="1:7" ht="15" customHeight="1">
      <c r="A91" s="398"/>
      <c r="B91" s="286"/>
      <c r="C91" s="286"/>
      <c r="D91" s="286"/>
      <c r="E91" s="286"/>
      <c r="F91" s="286"/>
      <c r="G91" s="286"/>
    </row>
    <row r="92" spans="1:7" ht="15" customHeight="1">
      <c r="A92" s="398"/>
      <c r="B92" s="286"/>
      <c r="C92" s="286"/>
      <c r="D92" s="286"/>
      <c r="E92" s="286"/>
      <c r="F92" s="286"/>
      <c r="G92" s="286"/>
    </row>
    <row r="93" spans="1:7" ht="15" customHeight="1">
      <c r="A93" s="398"/>
      <c r="B93" s="286"/>
      <c r="C93" s="286"/>
      <c r="D93" s="286"/>
      <c r="E93" s="286"/>
      <c r="F93" s="286"/>
      <c r="G93" s="286"/>
    </row>
    <row r="94" spans="1:7" ht="15" customHeight="1">
      <c r="A94" s="398"/>
      <c r="B94" s="286"/>
      <c r="C94" s="286"/>
      <c r="D94" s="286"/>
      <c r="E94" s="286"/>
      <c r="F94" s="286"/>
      <c r="G94" s="286"/>
    </row>
    <row r="95" spans="1:7" ht="15" customHeight="1">
      <c r="A95" s="398"/>
      <c r="B95" s="286"/>
      <c r="C95" s="286"/>
      <c r="D95" s="286"/>
      <c r="E95" s="286"/>
      <c r="F95" s="286"/>
      <c r="G95" s="286"/>
    </row>
    <row r="96" spans="1:7" ht="15" customHeight="1">
      <c r="A96" s="398"/>
      <c r="B96" s="286"/>
      <c r="C96" s="286"/>
      <c r="D96" s="286"/>
      <c r="E96" s="286"/>
      <c r="F96" s="286"/>
      <c r="G96" s="286"/>
    </row>
    <row r="97" spans="1:7" ht="15" customHeight="1">
      <c r="A97" s="398"/>
      <c r="B97" s="286"/>
      <c r="C97" s="286"/>
      <c r="D97" s="286"/>
      <c r="E97" s="286"/>
      <c r="F97" s="286"/>
      <c r="G97" s="286"/>
    </row>
    <row r="98" spans="1:7" ht="15" customHeight="1">
      <c r="A98" s="398"/>
      <c r="B98" s="286"/>
      <c r="C98" s="286"/>
      <c r="D98" s="286"/>
      <c r="E98" s="286"/>
      <c r="F98" s="286"/>
      <c r="G98" s="286"/>
    </row>
    <row r="99" spans="1:7" ht="15" customHeight="1">
      <c r="A99" s="398"/>
      <c r="B99" s="286"/>
      <c r="C99" s="286"/>
      <c r="D99" s="286"/>
      <c r="E99" s="286"/>
      <c r="F99" s="286"/>
      <c r="G99" s="286"/>
    </row>
    <row r="100" spans="1:7" ht="15" customHeight="1">
      <c r="A100" s="398"/>
      <c r="B100" s="286"/>
      <c r="C100" s="286"/>
      <c r="D100" s="286"/>
      <c r="E100" s="286"/>
      <c r="F100" s="286"/>
      <c r="G100" s="286"/>
    </row>
    <row r="101" spans="1:7" ht="15" customHeight="1">
      <c r="A101" s="398"/>
      <c r="B101" s="286"/>
      <c r="C101" s="286"/>
      <c r="D101" s="286"/>
      <c r="E101" s="286"/>
      <c r="F101" s="286"/>
      <c r="G101" s="286"/>
    </row>
    <row r="102" spans="1:7" ht="15" customHeight="1">
      <c r="A102" s="398"/>
      <c r="B102" s="286"/>
      <c r="C102" s="286"/>
      <c r="D102" s="286"/>
      <c r="E102" s="286"/>
      <c r="F102" s="286"/>
      <c r="G102" s="286"/>
    </row>
    <row r="103" spans="1:7" ht="15" customHeight="1">
      <c r="A103" s="398"/>
      <c r="B103" s="286"/>
      <c r="C103" s="286"/>
      <c r="D103" s="286"/>
      <c r="E103" s="286"/>
      <c r="F103" s="286"/>
      <c r="G103" s="286"/>
    </row>
    <row r="104" spans="1:7" ht="15" customHeight="1">
      <c r="A104" s="398"/>
      <c r="B104" s="286"/>
      <c r="C104" s="286"/>
      <c r="D104" s="286"/>
      <c r="E104" s="286"/>
      <c r="F104" s="286"/>
      <c r="G104" s="286"/>
    </row>
    <row r="105" spans="1:7" ht="15" customHeight="1">
      <c r="A105" s="398"/>
      <c r="B105" s="286"/>
      <c r="C105" s="286"/>
      <c r="D105" s="286"/>
      <c r="E105" s="286"/>
      <c r="F105" s="286"/>
      <c r="G105" s="286"/>
    </row>
    <row r="106" spans="1:7" ht="15" customHeight="1">
      <c r="A106" s="398"/>
      <c r="B106" s="286"/>
      <c r="C106" s="286"/>
      <c r="D106" s="286"/>
      <c r="E106" s="286"/>
      <c r="F106" s="286"/>
      <c r="G106" s="286"/>
    </row>
    <row r="107" spans="1:7" ht="15" customHeight="1">
      <c r="A107" s="398"/>
      <c r="B107" s="286"/>
      <c r="C107" s="286"/>
      <c r="D107" s="286"/>
      <c r="E107" s="286"/>
      <c r="F107" s="286"/>
      <c r="G107" s="286"/>
    </row>
    <row r="108" spans="1:7" ht="15" customHeight="1">
      <c r="A108" s="398"/>
      <c r="B108" s="286"/>
      <c r="C108" s="286"/>
      <c r="D108" s="286"/>
      <c r="E108" s="286"/>
      <c r="F108" s="286"/>
      <c r="G108" s="286"/>
    </row>
    <row r="109" spans="1:7" ht="15" customHeight="1">
      <c r="A109" s="398"/>
      <c r="B109" s="286"/>
      <c r="C109" s="286"/>
      <c r="D109" s="286"/>
      <c r="E109" s="286"/>
      <c r="F109" s="286"/>
      <c r="G109" s="286"/>
    </row>
    <row r="110" spans="1:7" ht="15" customHeight="1">
      <c r="A110" s="398"/>
      <c r="B110" s="286"/>
      <c r="C110" s="286"/>
      <c r="D110" s="286"/>
      <c r="E110" s="286"/>
      <c r="F110" s="286"/>
      <c r="G110" s="286"/>
    </row>
    <row r="111" spans="1:7" ht="15" customHeight="1">
      <c r="A111" s="398"/>
      <c r="B111" s="286"/>
      <c r="C111" s="286"/>
      <c r="D111" s="286"/>
      <c r="E111" s="286"/>
      <c r="F111" s="286"/>
      <c r="G111" s="286"/>
    </row>
    <row r="112" spans="1:7" ht="15" customHeight="1">
      <c r="A112" s="398"/>
      <c r="B112" s="286"/>
      <c r="C112" s="286"/>
      <c r="D112" s="286"/>
      <c r="E112" s="286"/>
      <c r="F112" s="286"/>
      <c r="G112" s="286"/>
    </row>
    <row r="113" spans="1:7" ht="15" customHeight="1">
      <c r="A113" s="398"/>
      <c r="B113" s="286"/>
      <c r="C113" s="286"/>
      <c r="D113" s="286"/>
      <c r="E113" s="286"/>
      <c r="F113" s="286"/>
      <c r="G113" s="286"/>
    </row>
    <row r="114" spans="1:7" ht="15" customHeight="1">
      <c r="A114" s="398"/>
      <c r="B114" s="286"/>
      <c r="C114" s="286"/>
      <c r="D114" s="286"/>
      <c r="E114" s="286"/>
      <c r="F114" s="286"/>
      <c r="G114" s="286"/>
    </row>
    <row r="115" spans="1:7" ht="15" customHeight="1">
      <c r="A115" s="398"/>
      <c r="B115" s="286"/>
      <c r="C115" s="286"/>
      <c r="D115" s="286"/>
      <c r="E115" s="286"/>
      <c r="F115" s="286"/>
      <c r="G115" s="286"/>
    </row>
    <row r="116" spans="1:7" ht="15" customHeight="1">
      <c r="A116" s="398"/>
      <c r="B116" s="286"/>
      <c r="C116" s="286"/>
      <c r="D116" s="286"/>
      <c r="E116" s="286"/>
      <c r="F116" s="286"/>
      <c r="G116" s="286"/>
    </row>
    <row r="117" spans="1:7" ht="15" customHeight="1">
      <c r="A117" s="398"/>
      <c r="B117" s="286"/>
      <c r="C117" s="286"/>
      <c r="D117" s="286"/>
      <c r="E117" s="286"/>
      <c r="F117" s="286"/>
      <c r="G117" s="286"/>
    </row>
    <row r="118" spans="1:7" ht="15" customHeight="1">
      <c r="A118" s="398"/>
      <c r="B118" s="286"/>
      <c r="C118" s="286"/>
      <c r="D118" s="286"/>
      <c r="E118" s="286"/>
      <c r="F118" s="286"/>
      <c r="G118" s="286"/>
    </row>
    <row r="119" spans="1:7" ht="15" customHeight="1">
      <c r="A119" s="398"/>
      <c r="B119" s="286"/>
      <c r="C119" s="286"/>
      <c r="D119" s="286"/>
      <c r="E119" s="286"/>
      <c r="F119" s="286"/>
      <c r="G119" s="286"/>
    </row>
    <row r="120" spans="1:7" ht="15" customHeight="1">
      <c r="A120" s="398"/>
      <c r="B120" s="286"/>
      <c r="C120" s="286"/>
      <c r="D120" s="286"/>
      <c r="E120" s="286"/>
      <c r="F120" s="286"/>
      <c r="G120" s="286"/>
    </row>
    <row r="121" spans="1:7" ht="15" customHeight="1">
      <c r="A121" s="398"/>
      <c r="B121" s="286"/>
      <c r="C121" s="286"/>
      <c r="D121" s="286"/>
      <c r="E121" s="286"/>
      <c r="F121" s="286"/>
      <c r="G121" s="286"/>
    </row>
    <row r="122" spans="1:7" ht="15" customHeight="1">
      <c r="A122" s="399"/>
      <c r="B122" s="288"/>
      <c r="C122" s="288"/>
      <c r="D122" s="288"/>
      <c r="E122" s="288"/>
      <c r="F122" s="288"/>
      <c r="G122" s="288"/>
    </row>
  </sheetData>
  <autoFilter ref="A1:J87" xr:uid="{00000000-0001-0000-1000-000000000000}"/>
  <conditionalFormatting sqref="F1:F1048576">
    <cfRule type="duplicateValues" dxfId="23" priority="18"/>
    <cfRule type="duplicateValues" dxfId="22" priority="20"/>
  </conditionalFormatting>
  <conditionalFormatting sqref="F1:F1048576">
    <cfRule type="duplicateValues" dxfId="21" priority="15"/>
  </conditionalFormatting>
  <conditionalFormatting sqref="H51:H62 I52:I63 H2:I50">
    <cfRule type="duplicateValues" dxfId="20" priority="13"/>
    <cfRule type="duplicateValues" dxfId="19" priority="14"/>
  </conditionalFormatting>
  <conditionalFormatting sqref="H51:H62 I52:I63 H2:I50">
    <cfRule type="duplicateValues" dxfId="18" priority="12"/>
  </conditionalFormatting>
  <conditionalFormatting sqref="J2:J64">
    <cfRule type="duplicateValues" dxfId="17" priority="5"/>
    <cfRule type="duplicateValues" dxfId="16" priority="6"/>
  </conditionalFormatting>
  <conditionalFormatting sqref="J2:J64">
    <cfRule type="duplicateValues" dxfId="15" priority="4"/>
  </conditionalFormatting>
  <conditionalFormatting sqref="J50:J51">
    <cfRule type="duplicateValues" dxfId="14" priority="2"/>
    <cfRule type="duplicateValues" dxfId="13" priority="3"/>
  </conditionalFormatting>
  <conditionalFormatting sqref="J50:J51">
    <cfRule type="duplicateValues" dxfId="12" priority="1"/>
  </conditionalFormatting>
  <dataValidations count="1">
    <dataValidation type="list" allowBlank="1" showInputMessage="1" showErrorMessage="1" sqref="D2:D19 D22:D35 D54:D55" xr:uid="{00000000-0002-0000-1000-000000000000}">
      <formula1>client</formula1>
    </dataValidation>
  </dataValidations>
  <hyperlinks>
    <hyperlink ref="G2" r:id="rId1" xr:uid="{00000000-0004-0000-1000-000000000000}"/>
    <hyperlink ref="G4" r:id="rId2" xr:uid="{00000000-0004-0000-1000-000001000000}"/>
  </hyperlinks>
  <pageMargins left="0.7" right="0.7" top="0.75" bottom="0.75" header="0" footer="0"/>
  <pageSetup scale="84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A7D5-5C4A-471D-B115-601331ACDA97}">
  <dimension ref="A1:X122"/>
  <sheetViews>
    <sheetView workbookViewId="0">
      <selection activeCell="I3" sqref="I3"/>
    </sheetView>
  </sheetViews>
  <sheetFormatPr defaultRowHeight="15"/>
  <cols>
    <col min="2" max="2" width="13.28515625" bestFit="1" customWidth="1"/>
    <col min="3" max="3" width="14.42578125" bestFit="1" customWidth="1"/>
    <col min="4" max="4" width="12.5703125" bestFit="1" customWidth="1"/>
    <col min="5" max="5" width="50.28515625" bestFit="1" customWidth="1"/>
    <col min="6" max="6" width="27" bestFit="1" customWidth="1"/>
    <col min="7" max="7" width="15.140625" bestFit="1" customWidth="1"/>
    <col min="8" max="8" width="20.7109375" customWidth="1"/>
    <col min="9" max="9" width="20.5703125" bestFit="1" customWidth="1"/>
    <col min="10" max="10" width="12.7109375" bestFit="1" customWidth="1"/>
  </cols>
  <sheetData>
    <row r="1" spans="1:24" ht="64.5">
      <c r="A1" s="146" t="s">
        <v>15</v>
      </c>
      <c r="B1" s="149" t="s">
        <v>219</v>
      </c>
      <c r="C1" s="149" t="s">
        <v>220</v>
      </c>
      <c r="D1" s="147" t="s">
        <v>221</v>
      </c>
      <c r="E1" s="147" t="s">
        <v>222</v>
      </c>
      <c r="F1" s="147" t="s">
        <v>223</v>
      </c>
      <c r="G1" s="147" t="s">
        <v>224</v>
      </c>
      <c r="H1" s="214" t="s">
        <v>490</v>
      </c>
      <c r="I1" s="215" t="s">
        <v>491</v>
      </c>
      <c r="J1" s="215" t="s">
        <v>492</v>
      </c>
      <c r="X1" s="255"/>
    </row>
    <row r="2" spans="1:24" ht="15.75">
      <c r="A2" s="5">
        <v>1</v>
      </c>
      <c r="B2" s="128"/>
      <c r="C2" s="139"/>
      <c r="D2" s="130"/>
      <c r="E2" s="131" t="s">
        <v>586</v>
      </c>
      <c r="F2" s="156"/>
      <c r="G2" s="210"/>
      <c r="H2" s="156"/>
      <c r="I2" s="156"/>
      <c r="J2" s="156"/>
      <c r="T2" s="130"/>
    </row>
    <row r="3" spans="1:24" ht="15.75">
      <c r="A3" s="9">
        <v>2</v>
      </c>
      <c r="B3" s="136"/>
      <c r="C3" s="139"/>
      <c r="D3" s="130"/>
      <c r="E3" s="131" t="s">
        <v>587</v>
      </c>
      <c r="F3" s="156">
        <v>1620112211</v>
      </c>
      <c r="G3" s="210" t="s">
        <v>261</v>
      </c>
      <c r="H3" s="156" t="s">
        <v>494</v>
      </c>
      <c r="I3" s="156"/>
      <c r="J3" s="156"/>
    </row>
    <row r="4" spans="1:24" ht="15.75">
      <c r="A4" s="9">
        <v>3</v>
      </c>
      <c r="B4" s="136"/>
      <c r="C4" s="139"/>
      <c r="D4" s="130"/>
      <c r="E4" s="131"/>
      <c r="F4" s="157"/>
      <c r="G4" s="210"/>
      <c r="H4" s="156"/>
      <c r="I4" s="156"/>
      <c r="J4" s="156"/>
    </row>
    <row r="5" spans="1:24" ht="15.75">
      <c r="A5" s="9">
        <v>4</v>
      </c>
      <c r="B5" s="188"/>
      <c r="C5" s="340"/>
      <c r="D5" s="190"/>
      <c r="E5" s="341"/>
      <c r="F5" s="342"/>
      <c r="G5" s="343"/>
      <c r="H5" s="156"/>
      <c r="I5" s="156"/>
      <c r="J5" s="156"/>
    </row>
    <row r="6" spans="1:24" ht="15.75">
      <c r="A6" s="9">
        <v>5</v>
      </c>
      <c r="B6" s="344"/>
      <c r="C6" s="345"/>
      <c r="D6" s="346"/>
      <c r="E6" s="347"/>
      <c r="F6" s="348"/>
      <c r="G6" s="349"/>
      <c r="H6" s="156"/>
      <c r="I6" s="156"/>
      <c r="J6" s="156"/>
    </row>
    <row r="7" spans="1:24" ht="15.75">
      <c r="A7" s="9">
        <v>6</v>
      </c>
      <c r="B7" s="350"/>
      <c r="C7" s="351"/>
      <c r="D7" s="352"/>
      <c r="E7" s="353"/>
      <c r="F7" s="354"/>
      <c r="G7" s="355"/>
      <c r="H7" s="156"/>
      <c r="I7" s="156"/>
      <c r="J7" s="156"/>
    </row>
    <row r="8" spans="1:24" ht="15.75">
      <c r="A8" s="9">
        <v>7</v>
      </c>
      <c r="B8" s="350"/>
      <c r="C8" s="351"/>
      <c r="D8" s="352"/>
      <c r="E8" s="353"/>
      <c r="F8" s="354"/>
      <c r="G8" s="355"/>
      <c r="H8" s="156"/>
      <c r="I8" s="156"/>
      <c r="J8" s="156"/>
    </row>
    <row r="9" spans="1:24" ht="15.75">
      <c r="A9" s="9">
        <v>8</v>
      </c>
      <c r="B9" s="356"/>
      <c r="C9" s="357"/>
      <c r="D9" s="358"/>
      <c r="E9" s="359"/>
      <c r="F9" s="360"/>
      <c r="G9" s="361"/>
      <c r="H9" s="156"/>
      <c r="I9" s="156"/>
      <c r="J9" s="156"/>
    </row>
    <row r="10" spans="1:24" ht="15.75">
      <c r="A10" s="9">
        <v>9</v>
      </c>
      <c r="B10" s="128"/>
      <c r="C10" s="129"/>
      <c r="D10" s="196"/>
      <c r="E10" s="142"/>
      <c r="F10" s="385"/>
      <c r="G10" s="198"/>
      <c r="H10" s="156"/>
      <c r="I10" s="156"/>
      <c r="J10" s="156"/>
    </row>
    <row r="11" spans="1:24" ht="15.75">
      <c r="A11" s="9">
        <v>10</v>
      </c>
      <c r="B11" s="136"/>
      <c r="C11" s="139"/>
      <c r="D11" s="130"/>
      <c r="E11" s="141"/>
      <c r="F11" s="354"/>
      <c r="G11" s="137"/>
      <c r="H11" s="156"/>
      <c r="I11" s="156"/>
      <c r="J11" s="156"/>
    </row>
    <row r="12" spans="1:24" ht="15.75">
      <c r="A12" s="9">
        <v>11</v>
      </c>
      <c r="B12" s="136"/>
      <c r="C12" s="84"/>
      <c r="D12" s="58"/>
      <c r="E12" s="82"/>
      <c r="F12" s="354"/>
      <c r="G12" s="137"/>
      <c r="H12" s="156"/>
      <c r="I12" s="156"/>
      <c r="J12" s="156"/>
    </row>
    <row r="13" spans="1:24" ht="15.75">
      <c r="A13" s="9">
        <v>12</v>
      </c>
      <c r="B13" s="136"/>
      <c r="C13" s="84"/>
      <c r="D13" s="58"/>
      <c r="E13" s="82"/>
      <c r="F13" s="354"/>
      <c r="G13" s="137"/>
      <c r="H13" s="156"/>
      <c r="I13" s="156"/>
      <c r="J13" s="156"/>
    </row>
    <row r="14" spans="1:24" ht="15.75">
      <c r="A14" s="9">
        <v>13</v>
      </c>
      <c r="B14" s="136"/>
      <c r="C14" s="84"/>
      <c r="D14" s="58"/>
      <c r="E14" s="85"/>
      <c r="F14" s="354"/>
      <c r="G14" s="137"/>
      <c r="H14" s="156"/>
      <c r="I14" s="156"/>
      <c r="J14" s="156"/>
    </row>
    <row r="15" spans="1:24" ht="15.75">
      <c r="A15" s="9">
        <v>14</v>
      </c>
      <c r="B15" s="136"/>
      <c r="C15" s="84"/>
      <c r="D15" s="58"/>
      <c r="E15" s="85"/>
      <c r="F15" s="354"/>
      <c r="G15" s="137"/>
      <c r="H15" s="156"/>
      <c r="I15" s="156"/>
      <c r="J15" s="156"/>
    </row>
    <row r="16" spans="1:24" ht="15.75">
      <c r="A16" s="9">
        <v>15</v>
      </c>
      <c r="B16" s="136"/>
      <c r="C16" s="84"/>
      <c r="D16" s="58"/>
      <c r="E16" s="82"/>
      <c r="F16" s="386"/>
      <c r="G16" s="59"/>
      <c r="H16" s="156"/>
      <c r="I16" s="156"/>
      <c r="J16" s="156"/>
    </row>
    <row r="17" spans="1:10" ht="15.75">
      <c r="A17" s="9">
        <v>16</v>
      </c>
      <c r="B17" s="136"/>
      <c r="C17" s="84"/>
      <c r="D17" s="58"/>
      <c r="E17" s="82"/>
      <c r="F17" s="386"/>
      <c r="G17" s="59"/>
      <c r="H17" s="156"/>
      <c r="I17" s="156"/>
      <c r="J17" s="156"/>
    </row>
    <row r="18" spans="1:10" ht="15.75">
      <c r="A18" s="187">
        <v>17</v>
      </c>
      <c r="B18" s="188"/>
      <c r="C18" s="371"/>
      <c r="D18" s="372"/>
      <c r="E18" s="373"/>
      <c r="F18" s="387"/>
      <c r="G18" s="94"/>
      <c r="H18" s="156"/>
      <c r="I18" s="156"/>
      <c r="J18" s="156"/>
    </row>
    <row r="19" spans="1:10" ht="15.75">
      <c r="A19" s="374">
        <v>18</v>
      </c>
      <c r="B19" s="375"/>
      <c r="C19" s="376"/>
      <c r="D19" s="377"/>
      <c r="E19" s="378"/>
      <c r="F19" s="384"/>
      <c r="G19" s="379"/>
      <c r="H19" s="156"/>
      <c r="I19" s="156"/>
      <c r="J19" s="156"/>
    </row>
    <row r="20" spans="1:10" ht="15.75">
      <c r="A20" s="381">
        <v>19</v>
      </c>
      <c r="B20" s="362"/>
      <c r="C20" s="363"/>
      <c r="D20" s="364"/>
      <c r="E20" s="368"/>
      <c r="F20" s="382"/>
      <c r="G20" s="367"/>
      <c r="H20" s="156"/>
      <c r="I20" s="156"/>
      <c r="J20" s="156"/>
    </row>
    <row r="21" spans="1:10" ht="15.75">
      <c r="A21" s="381">
        <v>20</v>
      </c>
      <c r="B21" s="362"/>
      <c r="C21" s="363"/>
      <c r="D21" s="364"/>
      <c r="E21" s="368"/>
      <c r="F21" s="382"/>
      <c r="G21" s="367"/>
      <c r="H21" s="156"/>
      <c r="I21" s="156"/>
      <c r="J21" s="156"/>
    </row>
    <row r="22" spans="1:10" ht="15.75">
      <c r="A22" s="381">
        <v>21</v>
      </c>
      <c r="B22" s="362"/>
      <c r="C22" s="369"/>
      <c r="D22" s="370"/>
      <c r="E22" s="365"/>
      <c r="F22" s="383"/>
      <c r="G22" s="366"/>
      <c r="H22" s="156"/>
      <c r="I22" s="156"/>
      <c r="J22" s="156"/>
    </row>
    <row r="23" spans="1:10" ht="15.75">
      <c r="A23" s="381">
        <v>22</v>
      </c>
      <c r="B23" s="362"/>
      <c r="C23" s="369"/>
      <c r="D23" s="370"/>
      <c r="E23" s="365"/>
      <c r="F23" s="383"/>
      <c r="G23" s="366"/>
      <c r="H23" s="156"/>
      <c r="I23" s="156"/>
      <c r="J23" s="156"/>
    </row>
    <row r="24" spans="1:10" ht="15.75">
      <c r="A24" s="381">
        <v>23</v>
      </c>
      <c r="B24" s="362"/>
      <c r="C24" s="369"/>
      <c r="D24" s="370"/>
      <c r="E24" s="365"/>
      <c r="F24" s="383"/>
      <c r="G24" s="366"/>
      <c r="H24" s="156"/>
      <c r="I24" s="156"/>
      <c r="J24" s="156"/>
    </row>
    <row r="25" spans="1:10" ht="15.75">
      <c r="A25" s="381">
        <v>24</v>
      </c>
      <c r="B25" s="362"/>
      <c r="C25" s="369"/>
      <c r="D25" s="370"/>
      <c r="E25" s="365"/>
      <c r="F25" s="383"/>
      <c r="G25" s="366"/>
      <c r="H25" s="156"/>
      <c r="I25" s="156"/>
      <c r="J25" s="156"/>
    </row>
    <row r="26" spans="1:10" ht="15.75">
      <c r="A26" s="381">
        <v>25</v>
      </c>
      <c r="B26" s="362"/>
      <c r="C26" s="369"/>
      <c r="D26" s="370"/>
      <c r="E26" s="365"/>
      <c r="F26" s="383"/>
      <c r="G26" s="366"/>
      <c r="H26" s="156"/>
      <c r="I26" s="156"/>
      <c r="J26" s="156"/>
    </row>
    <row r="27" spans="1:10" ht="15.75">
      <c r="A27" s="381">
        <v>26</v>
      </c>
      <c r="B27" s="362"/>
      <c r="C27" s="369"/>
      <c r="D27" s="370"/>
      <c r="E27" s="365"/>
      <c r="F27" s="383"/>
      <c r="G27" s="366"/>
      <c r="H27" s="156"/>
      <c r="I27" s="156"/>
      <c r="J27" s="156"/>
    </row>
    <row r="28" spans="1:10" ht="15.75">
      <c r="A28" s="381">
        <v>27</v>
      </c>
      <c r="B28" s="362"/>
      <c r="C28" s="369"/>
      <c r="D28" s="370"/>
      <c r="E28" s="365"/>
      <c r="F28" s="383"/>
      <c r="G28" s="366"/>
      <c r="H28" s="156"/>
      <c r="I28" s="156"/>
      <c r="J28" s="156"/>
    </row>
    <row r="29" spans="1:10" ht="15.75">
      <c r="A29" s="381">
        <v>28</v>
      </c>
      <c r="B29" s="362"/>
      <c r="C29" s="369"/>
      <c r="D29" s="370"/>
      <c r="E29" s="365"/>
      <c r="F29" s="383"/>
      <c r="G29" s="366"/>
      <c r="H29" s="156"/>
      <c r="I29" s="156"/>
      <c r="J29" s="156"/>
    </row>
    <row r="30" spans="1:10" ht="15.75">
      <c r="A30" s="381">
        <v>29</v>
      </c>
      <c r="B30" s="362"/>
      <c r="C30" s="369"/>
      <c r="D30" s="370"/>
      <c r="E30" s="365"/>
      <c r="F30" s="383"/>
      <c r="G30" s="366"/>
      <c r="H30" s="156"/>
      <c r="I30" s="156"/>
      <c r="J30" s="156"/>
    </row>
    <row r="31" spans="1:10" ht="15.75">
      <c r="A31" s="381">
        <v>30</v>
      </c>
      <c r="B31" s="362"/>
      <c r="C31" s="369"/>
      <c r="D31" s="370"/>
      <c r="E31" s="365"/>
      <c r="F31" s="383"/>
      <c r="G31" s="366"/>
      <c r="H31" s="156"/>
      <c r="I31" s="156"/>
      <c r="J31" s="156"/>
    </row>
    <row r="32" spans="1:10" ht="15.75">
      <c r="A32" s="381">
        <v>31</v>
      </c>
      <c r="B32" s="362"/>
      <c r="C32" s="369"/>
      <c r="D32" s="370"/>
      <c r="E32" s="365"/>
      <c r="F32" s="383"/>
      <c r="G32" s="366"/>
      <c r="H32" s="156"/>
      <c r="I32" s="156"/>
      <c r="J32" s="156"/>
    </row>
    <row r="33" spans="1:10" ht="15.75">
      <c r="A33" s="381">
        <v>32</v>
      </c>
      <c r="B33" s="362"/>
      <c r="C33" s="369"/>
      <c r="D33" s="370"/>
      <c r="E33" s="365"/>
      <c r="F33" s="383"/>
      <c r="G33" s="366"/>
      <c r="H33" s="156"/>
      <c r="I33" s="156"/>
      <c r="J33" s="156"/>
    </row>
    <row r="34" spans="1:10" ht="15.75">
      <c r="A34" s="381">
        <v>33</v>
      </c>
      <c r="B34" s="362"/>
      <c r="C34" s="369"/>
      <c r="D34" s="370"/>
      <c r="E34" s="365"/>
      <c r="F34" s="383"/>
      <c r="G34" s="366"/>
      <c r="H34" s="156"/>
      <c r="I34" s="156"/>
      <c r="J34" s="156"/>
    </row>
    <row r="35" spans="1:10" ht="15.75">
      <c r="A35" s="381">
        <v>34</v>
      </c>
      <c r="B35" s="362"/>
      <c r="C35" s="369"/>
      <c r="D35" s="370"/>
      <c r="E35" s="365"/>
      <c r="F35" s="383"/>
      <c r="G35" s="366"/>
      <c r="H35" s="156"/>
      <c r="I35" s="156"/>
      <c r="J35" s="156"/>
    </row>
    <row r="36" spans="1:10" ht="15.75">
      <c r="A36" s="381">
        <v>35</v>
      </c>
      <c r="B36" s="362"/>
      <c r="C36" s="363"/>
      <c r="D36" s="364"/>
      <c r="E36" s="368"/>
      <c r="F36" s="382"/>
      <c r="G36" s="367"/>
      <c r="H36" s="156"/>
      <c r="I36" s="156"/>
      <c r="J36" s="156"/>
    </row>
    <row r="37" spans="1:10" ht="15.75">
      <c r="A37" s="391">
        <v>36</v>
      </c>
      <c r="B37" s="405"/>
      <c r="C37" s="392"/>
      <c r="D37" s="393"/>
      <c r="E37" s="394"/>
      <c r="F37" s="395"/>
      <c r="G37" s="396"/>
      <c r="H37" s="156"/>
      <c r="I37" s="156"/>
      <c r="J37" s="156"/>
    </row>
    <row r="38" spans="1:10" ht="15.75">
      <c r="A38" s="421">
        <v>41</v>
      </c>
      <c r="B38" s="414"/>
      <c r="C38" s="376"/>
      <c r="D38" s="377"/>
      <c r="E38" s="400"/>
      <c r="F38" s="384"/>
      <c r="G38" s="413"/>
      <c r="H38" s="156"/>
      <c r="I38" s="156"/>
      <c r="J38" s="156"/>
    </row>
    <row r="39" spans="1:10" ht="15.75">
      <c r="A39" s="416">
        <v>42</v>
      </c>
      <c r="B39" s="414"/>
      <c r="C39" s="363"/>
      <c r="D39" s="364"/>
      <c r="E39" s="368"/>
      <c r="F39" s="383"/>
      <c r="G39" s="389"/>
      <c r="H39" s="156"/>
      <c r="I39" s="156"/>
      <c r="J39" s="156"/>
    </row>
    <row r="40" spans="1:10" ht="15.75">
      <c r="A40" s="416">
        <v>43</v>
      </c>
      <c r="B40" s="414"/>
      <c r="C40" s="363"/>
      <c r="D40" s="364"/>
      <c r="E40" s="368"/>
      <c r="F40" s="383"/>
      <c r="G40" s="389"/>
      <c r="H40" s="156"/>
      <c r="I40" s="156"/>
      <c r="J40" s="156"/>
    </row>
    <row r="41" spans="1:10" ht="15.75">
      <c r="A41" s="416">
        <v>44</v>
      </c>
      <c r="B41" s="414"/>
      <c r="C41" s="363"/>
      <c r="D41" s="364"/>
      <c r="E41" s="368"/>
      <c r="F41" s="383"/>
      <c r="G41" s="389"/>
      <c r="H41" s="156"/>
      <c r="I41" s="156"/>
      <c r="J41" s="156"/>
    </row>
    <row r="42" spans="1:10" ht="15.75">
      <c r="A42" s="416">
        <v>45</v>
      </c>
      <c r="B42" s="414"/>
      <c r="C42" s="363"/>
      <c r="D42" s="364"/>
      <c r="E42" s="368"/>
      <c r="F42" s="383"/>
      <c r="G42" s="389"/>
      <c r="H42" s="156"/>
      <c r="I42" s="156"/>
      <c r="J42" s="156"/>
    </row>
    <row r="43" spans="1:10" ht="15.75">
      <c r="A43" s="416">
        <v>46</v>
      </c>
      <c r="B43" s="414"/>
      <c r="C43" s="363"/>
      <c r="D43" s="364"/>
      <c r="E43" s="368"/>
      <c r="F43" s="383"/>
      <c r="G43" s="389"/>
      <c r="H43" s="156"/>
      <c r="I43" s="156"/>
      <c r="J43" s="156"/>
    </row>
    <row r="44" spans="1:10" ht="15.75">
      <c r="A44" s="416">
        <v>48</v>
      </c>
      <c r="B44" s="415"/>
      <c r="C44" s="363"/>
      <c r="D44" s="364"/>
      <c r="E44" s="368"/>
      <c r="F44" s="383"/>
      <c r="G44" s="367"/>
      <c r="H44" s="156"/>
      <c r="I44" s="156"/>
      <c r="J44" s="156"/>
    </row>
    <row r="45" spans="1:10" ht="15.75">
      <c r="A45" s="416">
        <v>49</v>
      </c>
      <c r="B45" s="415"/>
      <c r="C45" s="363"/>
      <c r="D45" s="364"/>
      <c r="E45" s="368"/>
      <c r="F45" s="383"/>
      <c r="G45" s="367"/>
      <c r="H45" s="156"/>
      <c r="I45" s="156"/>
      <c r="J45" s="156"/>
    </row>
    <row r="46" spans="1:10" ht="15.75">
      <c r="A46" s="416">
        <v>50</v>
      </c>
      <c r="B46" s="415"/>
      <c r="C46" s="363"/>
      <c r="D46" s="364"/>
      <c r="E46" s="368"/>
      <c r="F46" s="383"/>
      <c r="G46" s="367"/>
      <c r="H46" s="156"/>
      <c r="I46" s="156"/>
      <c r="J46" s="156"/>
    </row>
    <row r="47" spans="1:10" ht="15.75">
      <c r="A47" s="416">
        <v>51</v>
      </c>
      <c r="B47" s="415"/>
      <c r="C47" s="363"/>
      <c r="D47" s="364"/>
      <c r="E47" s="368"/>
      <c r="F47" s="383"/>
      <c r="G47" s="367"/>
      <c r="H47" s="156"/>
      <c r="I47" s="156"/>
      <c r="J47" s="156"/>
    </row>
    <row r="48" spans="1:10" ht="15.75">
      <c r="A48" s="425">
        <v>52</v>
      </c>
      <c r="B48" s="426"/>
      <c r="C48" s="392"/>
      <c r="D48" s="393"/>
      <c r="E48" s="394"/>
      <c r="F48" s="427"/>
      <c r="G48" s="396"/>
      <c r="H48" s="156"/>
      <c r="I48" s="156"/>
      <c r="J48" s="156"/>
    </row>
    <row r="49" spans="1:10" ht="15.75">
      <c r="A49" s="374">
        <v>55</v>
      </c>
      <c r="B49" s="422"/>
      <c r="C49" s="376"/>
      <c r="D49" s="377"/>
      <c r="E49" s="400"/>
      <c r="F49" s="380"/>
      <c r="G49" s="380"/>
      <c r="H49" s="156"/>
      <c r="I49" s="156"/>
      <c r="J49" s="156"/>
    </row>
    <row r="50" spans="1:10" ht="15.75">
      <c r="A50" s="397">
        <v>56</v>
      </c>
      <c r="B50" s="362"/>
      <c r="C50" s="363"/>
      <c r="D50" s="364"/>
      <c r="E50" s="368"/>
      <c r="F50" s="367"/>
      <c r="G50" s="367"/>
      <c r="H50" s="156"/>
      <c r="I50" s="156"/>
      <c r="J50" s="156"/>
    </row>
    <row r="51" spans="1:10" ht="15.75">
      <c r="A51" s="381">
        <v>57</v>
      </c>
      <c r="B51" s="362"/>
      <c r="C51" s="363"/>
      <c r="D51" s="364"/>
      <c r="E51" s="368"/>
      <c r="F51" s="367"/>
      <c r="G51" s="367"/>
      <c r="H51" s="156"/>
      <c r="J51" s="156"/>
    </row>
    <row r="52" spans="1:10" ht="15.75">
      <c r="A52" s="397">
        <v>58</v>
      </c>
      <c r="B52" s="390"/>
      <c r="C52" s="363"/>
      <c r="D52" s="364"/>
      <c r="E52" s="368"/>
      <c r="F52" s="367"/>
      <c r="G52" s="367"/>
      <c r="H52" s="156"/>
      <c r="I52" s="156"/>
      <c r="J52" s="156"/>
    </row>
    <row r="53" spans="1:10" ht="15.75">
      <c r="A53" s="423">
        <v>59</v>
      </c>
      <c r="B53" s="424"/>
      <c r="C53" s="401"/>
      <c r="D53" s="402"/>
      <c r="E53" s="403"/>
      <c r="F53" s="404"/>
      <c r="G53" s="404"/>
      <c r="H53" s="156"/>
      <c r="I53" s="156"/>
      <c r="J53" s="156"/>
    </row>
    <row r="54" spans="1:10" ht="15.75">
      <c r="A54" s="417">
        <v>60</v>
      </c>
      <c r="B54" s="406"/>
      <c r="C54" s="407"/>
      <c r="D54" s="408"/>
      <c r="E54" s="409"/>
      <c r="F54" s="410"/>
      <c r="G54" s="411"/>
      <c r="H54" s="156"/>
      <c r="I54" s="156"/>
      <c r="J54" s="156"/>
    </row>
    <row r="55" spans="1:10" ht="15.75">
      <c r="A55" s="397">
        <v>61</v>
      </c>
      <c r="B55" s="362"/>
      <c r="C55" s="363"/>
      <c r="D55" s="364"/>
      <c r="E55" s="368"/>
      <c r="F55" s="388"/>
      <c r="G55" s="366"/>
      <c r="H55" s="156"/>
      <c r="I55" s="156"/>
      <c r="J55" s="156"/>
    </row>
    <row r="56" spans="1:10" ht="15.75">
      <c r="A56" s="397">
        <v>62</v>
      </c>
      <c r="B56" s="418"/>
      <c r="C56" s="419"/>
      <c r="D56" s="420"/>
      <c r="E56" s="368"/>
      <c r="F56" s="367"/>
      <c r="G56" s="412"/>
      <c r="H56" s="156"/>
      <c r="I56" s="156"/>
      <c r="J56" s="156"/>
    </row>
    <row r="57" spans="1:10" ht="15.75">
      <c r="A57" s="397">
        <v>63</v>
      </c>
      <c r="B57" s="362"/>
      <c r="C57" s="363"/>
      <c r="D57" s="364"/>
      <c r="E57" s="368"/>
      <c r="F57" s="367"/>
      <c r="G57" s="367"/>
      <c r="H57" s="156"/>
      <c r="I57" s="156"/>
      <c r="J57" s="156"/>
    </row>
    <row r="58" spans="1:10" ht="15.75">
      <c r="A58" s="397">
        <v>64</v>
      </c>
      <c r="B58" s="362"/>
      <c r="C58" s="363"/>
      <c r="D58" s="364"/>
      <c r="E58" s="368"/>
      <c r="F58" s="367"/>
      <c r="G58" s="367"/>
      <c r="H58" s="156"/>
      <c r="I58" s="156"/>
      <c r="J58" s="156"/>
    </row>
    <row r="59" spans="1:10" ht="15.75">
      <c r="A59" s="397">
        <v>65</v>
      </c>
      <c r="B59" s="362"/>
      <c r="C59" s="363"/>
      <c r="D59" s="364"/>
      <c r="E59" s="368"/>
      <c r="F59" s="367"/>
      <c r="G59" s="367"/>
      <c r="H59" s="156"/>
      <c r="I59" s="156"/>
      <c r="J59" s="156"/>
    </row>
    <row r="60" spans="1:10" ht="15.75">
      <c r="A60" s="397">
        <v>66</v>
      </c>
      <c r="B60" s="362"/>
      <c r="C60" s="286"/>
      <c r="D60" s="286"/>
      <c r="E60" s="368"/>
      <c r="F60" s="367"/>
      <c r="G60" s="337"/>
      <c r="H60" s="156"/>
      <c r="I60" s="156"/>
      <c r="J60" s="156"/>
    </row>
    <row r="61" spans="1:10" ht="15.75">
      <c r="A61" s="397">
        <v>67</v>
      </c>
      <c r="B61" s="362"/>
      <c r="C61" s="286"/>
      <c r="D61" s="286"/>
      <c r="E61" s="368"/>
      <c r="F61" s="428"/>
      <c r="G61" s="337"/>
      <c r="H61" s="156"/>
      <c r="I61" s="156"/>
      <c r="J61" s="156"/>
    </row>
    <row r="62" spans="1:10" ht="15.75">
      <c r="A62" s="397">
        <v>68</v>
      </c>
      <c r="B62" s="362"/>
      <c r="C62" s="286"/>
      <c r="D62" s="286"/>
      <c r="E62" s="368"/>
      <c r="F62" s="428"/>
      <c r="G62" s="286"/>
      <c r="H62" s="156"/>
      <c r="I62" s="156"/>
      <c r="J62" s="156"/>
    </row>
    <row r="63" spans="1:10" ht="15.75">
      <c r="A63" s="397">
        <v>69</v>
      </c>
      <c r="B63" s="362"/>
      <c r="C63" s="286"/>
      <c r="D63" s="286"/>
      <c r="E63" s="368"/>
      <c r="F63" s="388"/>
      <c r="G63" s="337"/>
      <c r="I63" s="156"/>
      <c r="J63" s="156"/>
    </row>
    <row r="64" spans="1:10" ht="15.75">
      <c r="A64" s="397"/>
      <c r="B64" s="362"/>
      <c r="C64" s="286"/>
      <c r="D64" s="286"/>
      <c r="E64" s="368"/>
      <c r="F64" s="286"/>
      <c r="G64" s="286"/>
      <c r="J64" s="156"/>
    </row>
    <row r="65" spans="1:7" ht="15.75">
      <c r="A65" s="398"/>
      <c r="B65" s="362"/>
      <c r="C65" s="286"/>
      <c r="D65" s="286"/>
      <c r="E65" s="286"/>
      <c r="F65" s="286"/>
      <c r="G65" s="286"/>
    </row>
    <row r="66" spans="1:7" ht="15.75">
      <c r="A66" s="398"/>
      <c r="B66" s="362"/>
      <c r="C66" s="286"/>
      <c r="D66" s="286"/>
      <c r="E66" s="286"/>
      <c r="F66" s="286"/>
      <c r="G66" s="286"/>
    </row>
    <row r="67" spans="1:7">
      <c r="A67" s="398"/>
      <c r="B67" s="286"/>
      <c r="C67" s="286"/>
      <c r="D67" s="286"/>
      <c r="E67" s="286"/>
      <c r="F67" s="286"/>
      <c r="G67" s="286"/>
    </row>
    <row r="68" spans="1:7">
      <c r="A68" s="398"/>
      <c r="B68" s="286"/>
      <c r="C68" s="286"/>
      <c r="D68" s="286"/>
      <c r="E68" s="286"/>
      <c r="F68" s="286"/>
      <c r="G68" s="286"/>
    </row>
    <row r="69" spans="1:7">
      <c r="A69" s="398"/>
      <c r="B69" s="286"/>
      <c r="C69" s="286"/>
      <c r="D69" s="286"/>
      <c r="E69" s="286"/>
      <c r="F69" s="286"/>
      <c r="G69" s="286"/>
    </row>
    <row r="70" spans="1:7">
      <c r="A70" s="398"/>
      <c r="B70" s="286"/>
      <c r="C70" s="286"/>
      <c r="D70" s="286"/>
      <c r="E70" s="286"/>
      <c r="F70" s="286"/>
      <c r="G70" s="286"/>
    </row>
    <row r="71" spans="1:7">
      <c r="A71" s="398"/>
      <c r="B71" s="286"/>
      <c r="C71" s="286"/>
      <c r="D71" s="286"/>
      <c r="E71" s="286"/>
      <c r="F71" s="286"/>
      <c r="G71" s="286"/>
    </row>
    <row r="72" spans="1:7">
      <c r="A72" s="398"/>
      <c r="B72" s="286"/>
      <c r="C72" s="286"/>
      <c r="D72" s="286"/>
      <c r="E72" s="286"/>
      <c r="F72" s="286"/>
      <c r="G72" s="286"/>
    </row>
    <row r="73" spans="1:7">
      <c r="A73" s="398"/>
      <c r="B73" s="286"/>
      <c r="C73" s="286"/>
      <c r="D73" s="286"/>
      <c r="E73" s="286"/>
      <c r="F73" s="286"/>
      <c r="G73" s="286"/>
    </row>
    <row r="74" spans="1:7">
      <c r="A74" s="398"/>
      <c r="B74" s="286"/>
      <c r="C74" s="286"/>
      <c r="D74" s="286"/>
      <c r="E74" s="286"/>
      <c r="F74" s="286"/>
      <c r="G74" s="286"/>
    </row>
    <row r="75" spans="1:7">
      <c r="A75" s="398"/>
      <c r="B75" s="286"/>
      <c r="C75" s="286"/>
      <c r="D75" s="286"/>
      <c r="E75" s="286"/>
      <c r="F75" s="286"/>
      <c r="G75" s="286"/>
    </row>
    <row r="76" spans="1:7">
      <c r="A76" s="398"/>
      <c r="B76" s="286"/>
      <c r="C76" s="286"/>
      <c r="D76" s="286"/>
      <c r="E76" s="286"/>
      <c r="F76" s="286"/>
      <c r="G76" s="286"/>
    </row>
    <row r="77" spans="1:7">
      <c r="A77" s="398"/>
      <c r="B77" s="286"/>
      <c r="C77" s="286"/>
      <c r="D77" s="286"/>
      <c r="E77" s="286"/>
      <c r="F77" s="286"/>
      <c r="G77" s="286"/>
    </row>
    <row r="78" spans="1:7">
      <c r="A78" s="398"/>
      <c r="B78" s="286"/>
      <c r="C78" s="286"/>
      <c r="D78" s="286"/>
      <c r="E78" s="286"/>
      <c r="F78" s="286"/>
      <c r="G78" s="286"/>
    </row>
    <row r="79" spans="1:7">
      <c r="A79" s="398"/>
      <c r="B79" s="286"/>
      <c r="C79" s="286"/>
      <c r="D79" s="286"/>
      <c r="E79" s="286"/>
      <c r="F79" s="286"/>
      <c r="G79" s="286"/>
    </row>
    <row r="80" spans="1:7">
      <c r="A80" s="398"/>
      <c r="B80" s="286"/>
      <c r="C80" s="286"/>
      <c r="D80" s="286"/>
      <c r="E80" s="286"/>
      <c r="F80" s="286"/>
      <c r="G80" s="286"/>
    </row>
    <row r="81" spans="1:7">
      <c r="A81" s="398"/>
      <c r="B81" s="286"/>
      <c r="C81" s="286"/>
      <c r="D81" s="286"/>
      <c r="E81" s="286"/>
      <c r="F81" s="286"/>
      <c r="G81" s="286"/>
    </row>
    <row r="82" spans="1:7">
      <c r="A82" s="398"/>
      <c r="B82" s="286"/>
      <c r="C82" s="286"/>
      <c r="D82" s="286"/>
      <c r="E82" s="286"/>
      <c r="F82" s="286"/>
      <c r="G82" s="286"/>
    </row>
    <row r="83" spans="1:7">
      <c r="A83" s="398"/>
      <c r="B83" s="286"/>
      <c r="C83" s="286"/>
      <c r="D83" s="286"/>
      <c r="E83" s="286"/>
      <c r="F83" s="286"/>
      <c r="G83" s="286"/>
    </row>
    <row r="84" spans="1:7">
      <c r="A84" s="398"/>
      <c r="B84" s="286"/>
      <c r="C84" s="286"/>
      <c r="D84" s="286"/>
      <c r="E84" s="286"/>
      <c r="F84" s="286"/>
      <c r="G84" s="286"/>
    </row>
    <row r="85" spans="1:7">
      <c r="A85" s="398"/>
      <c r="B85" s="286"/>
      <c r="C85" s="286"/>
      <c r="D85" s="286"/>
      <c r="E85" s="286"/>
      <c r="F85" s="286"/>
      <c r="G85" s="286"/>
    </row>
    <row r="86" spans="1:7">
      <c r="A86" s="398"/>
      <c r="B86" s="286"/>
      <c r="C86" s="286"/>
      <c r="D86" s="286"/>
      <c r="E86" s="286"/>
      <c r="F86" s="286"/>
      <c r="G86" s="286"/>
    </row>
    <row r="87" spans="1:7">
      <c r="A87" s="398"/>
      <c r="B87" s="286"/>
      <c r="C87" s="286"/>
      <c r="D87" s="286"/>
      <c r="E87" s="286"/>
      <c r="F87" s="286"/>
      <c r="G87" s="286"/>
    </row>
    <row r="88" spans="1:7">
      <c r="A88" s="398"/>
      <c r="B88" s="286"/>
      <c r="C88" s="286"/>
      <c r="D88" s="286"/>
      <c r="E88" s="286"/>
      <c r="F88" s="286"/>
      <c r="G88" s="286"/>
    </row>
    <row r="89" spans="1:7">
      <c r="A89" s="398"/>
      <c r="B89" s="286"/>
      <c r="C89" s="286"/>
      <c r="D89" s="286"/>
      <c r="E89" s="286"/>
      <c r="F89" s="286"/>
      <c r="G89" s="286"/>
    </row>
    <row r="90" spans="1:7">
      <c r="A90" s="398"/>
      <c r="B90" s="286"/>
      <c r="C90" s="286"/>
      <c r="D90" s="286"/>
      <c r="E90" s="286"/>
      <c r="F90" s="286"/>
      <c r="G90" s="286"/>
    </row>
    <row r="91" spans="1:7">
      <c r="A91" s="398"/>
      <c r="B91" s="286"/>
      <c r="C91" s="286"/>
      <c r="D91" s="286"/>
      <c r="E91" s="286"/>
      <c r="F91" s="286"/>
      <c r="G91" s="286"/>
    </row>
    <row r="92" spans="1:7">
      <c r="A92" s="398"/>
      <c r="B92" s="286"/>
      <c r="C92" s="286"/>
      <c r="D92" s="286"/>
      <c r="E92" s="286"/>
      <c r="F92" s="286"/>
      <c r="G92" s="286"/>
    </row>
    <row r="93" spans="1:7">
      <c r="A93" s="398"/>
      <c r="B93" s="286"/>
      <c r="C93" s="286"/>
      <c r="D93" s="286"/>
      <c r="E93" s="286"/>
      <c r="F93" s="286"/>
      <c r="G93" s="286"/>
    </row>
    <row r="94" spans="1:7">
      <c r="A94" s="398"/>
      <c r="B94" s="286"/>
      <c r="C94" s="286"/>
      <c r="D94" s="286"/>
      <c r="E94" s="286"/>
      <c r="F94" s="286"/>
      <c r="G94" s="286"/>
    </row>
    <row r="95" spans="1:7">
      <c r="A95" s="398"/>
      <c r="B95" s="286"/>
      <c r="C95" s="286"/>
      <c r="D95" s="286"/>
      <c r="E95" s="286"/>
      <c r="F95" s="286"/>
      <c r="G95" s="286"/>
    </row>
    <row r="96" spans="1:7">
      <c r="A96" s="398"/>
      <c r="B96" s="286"/>
      <c r="C96" s="286"/>
      <c r="D96" s="286"/>
      <c r="E96" s="286"/>
      <c r="F96" s="286"/>
      <c r="G96" s="286"/>
    </row>
    <row r="97" spans="1:7">
      <c r="A97" s="398"/>
      <c r="B97" s="286"/>
      <c r="C97" s="286"/>
      <c r="D97" s="286"/>
      <c r="E97" s="286"/>
      <c r="F97" s="286"/>
      <c r="G97" s="286"/>
    </row>
    <row r="98" spans="1:7">
      <c r="A98" s="398"/>
      <c r="B98" s="286"/>
      <c r="C98" s="286"/>
      <c r="D98" s="286"/>
      <c r="E98" s="286"/>
      <c r="F98" s="286"/>
      <c r="G98" s="286"/>
    </row>
    <row r="99" spans="1:7">
      <c r="A99" s="398"/>
      <c r="B99" s="286"/>
      <c r="C99" s="286"/>
      <c r="D99" s="286"/>
      <c r="E99" s="286"/>
      <c r="F99" s="286"/>
      <c r="G99" s="286"/>
    </row>
    <row r="100" spans="1:7">
      <c r="A100" s="398"/>
      <c r="B100" s="286"/>
      <c r="C100" s="286"/>
      <c r="D100" s="286"/>
      <c r="E100" s="286"/>
      <c r="F100" s="286"/>
      <c r="G100" s="286"/>
    </row>
    <row r="101" spans="1:7">
      <c r="A101" s="398"/>
      <c r="B101" s="286"/>
      <c r="C101" s="286"/>
      <c r="D101" s="286"/>
      <c r="E101" s="286"/>
      <c r="F101" s="286"/>
      <c r="G101" s="286"/>
    </row>
    <row r="102" spans="1:7">
      <c r="A102" s="398"/>
      <c r="B102" s="286"/>
      <c r="C102" s="286"/>
      <c r="D102" s="286"/>
      <c r="E102" s="286"/>
      <c r="F102" s="286"/>
      <c r="G102" s="286"/>
    </row>
    <row r="103" spans="1:7">
      <c r="A103" s="398"/>
      <c r="B103" s="286"/>
      <c r="C103" s="286"/>
      <c r="D103" s="286"/>
      <c r="E103" s="286"/>
      <c r="F103" s="286"/>
      <c r="G103" s="286"/>
    </row>
    <row r="104" spans="1:7">
      <c r="A104" s="398"/>
      <c r="B104" s="286"/>
      <c r="C104" s="286"/>
      <c r="D104" s="286"/>
      <c r="E104" s="286"/>
      <c r="F104" s="286"/>
      <c r="G104" s="286"/>
    </row>
    <row r="105" spans="1:7">
      <c r="A105" s="398"/>
      <c r="B105" s="286"/>
      <c r="C105" s="286"/>
      <c r="D105" s="286"/>
      <c r="E105" s="286"/>
      <c r="F105" s="286"/>
      <c r="G105" s="286"/>
    </row>
    <row r="106" spans="1:7">
      <c r="A106" s="398"/>
      <c r="B106" s="286"/>
      <c r="C106" s="286"/>
      <c r="D106" s="286"/>
      <c r="E106" s="286"/>
      <c r="F106" s="286"/>
      <c r="G106" s="286"/>
    </row>
    <row r="107" spans="1:7">
      <c r="A107" s="398"/>
      <c r="B107" s="286"/>
      <c r="C107" s="286"/>
      <c r="D107" s="286"/>
      <c r="E107" s="286"/>
      <c r="F107" s="286"/>
      <c r="G107" s="286"/>
    </row>
    <row r="108" spans="1:7">
      <c r="A108" s="398"/>
      <c r="B108" s="286"/>
      <c r="C108" s="286"/>
      <c r="D108" s="286"/>
      <c r="E108" s="286"/>
      <c r="F108" s="286"/>
      <c r="G108" s="286"/>
    </row>
    <row r="109" spans="1:7">
      <c r="A109" s="398"/>
      <c r="B109" s="286"/>
      <c r="C109" s="286"/>
      <c r="D109" s="286"/>
      <c r="E109" s="286"/>
      <c r="F109" s="286"/>
      <c r="G109" s="286"/>
    </row>
    <row r="110" spans="1:7">
      <c r="A110" s="398"/>
      <c r="B110" s="286"/>
      <c r="C110" s="286"/>
      <c r="D110" s="286"/>
      <c r="E110" s="286"/>
      <c r="F110" s="286"/>
      <c r="G110" s="286"/>
    </row>
    <row r="111" spans="1:7">
      <c r="A111" s="398"/>
      <c r="B111" s="286"/>
      <c r="C111" s="286"/>
      <c r="D111" s="286"/>
      <c r="E111" s="286"/>
      <c r="F111" s="286"/>
      <c r="G111" s="286"/>
    </row>
    <row r="112" spans="1:7">
      <c r="A112" s="398"/>
      <c r="B112" s="286"/>
      <c r="C112" s="286"/>
      <c r="D112" s="286"/>
      <c r="E112" s="286"/>
      <c r="F112" s="286"/>
      <c r="G112" s="286"/>
    </row>
    <row r="113" spans="1:7">
      <c r="A113" s="398"/>
      <c r="B113" s="286"/>
      <c r="C113" s="286"/>
      <c r="D113" s="286"/>
      <c r="E113" s="286"/>
      <c r="F113" s="286"/>
      <c r="G113" s="286"/>
    </row>
    <row r="114" spans="1:7">
      <c r="A114" s="398"/>
      <c r="B114" s="286"/>
      <c r="C114" s="286"/>
      <c r="D114" s="286"/>
      <c r="E114" s="286"/>
      <c r="F114" s="286"/>
      <c r="G114" s="286"/>
    </row>
    <row r="115" spans="1:7">
      <c r="A115" s="398"/>
      <c r="B115" s="286"/>
      <c r="C115" s="286"/>
      <c r="D115" s="286"/>
      <c r="E115" s="286"/>
      <c r="F115" s="286"/>
      <c r="G115" s="286"/>
    </row>
    <row r="116" spans="1:7">
      <c r="A116" s="398"/>
      <c r="B116" s="286"/>
      <c r="C116" s="286"/>
      <c r="D116" s="286"/>
      <c r="E116" s="286"/>
      <c r="F116" s="286"/>
      <c r="G116" s="286"/>
    </row>
    <row r="117" spans="1:7">
      <c r="A117" s="398"/>
      <c r="B117" s="286"/>
      <c r="C117" s="286"/>
      <c r="D117" s="286"/>
      <c r="E117" s="286"/>
      <c r="F117" s="286"/>
      <c r="G117" s="286"/>
    </row>
    <row r="118" spans="1:7">
      <c r="A118" s="398"/>
      <c r="B118" s="286"/>
      <c r="C118" s="286"/>
      <c r="D118" s="286"/>
      <c r="E118" s="286"/>
      <c r="F118" s="286"/>
      <c r="G118" s="286"/>
    </row>
    <row r="119" spans="1:7">
      <c r="A119" s="398"/>
      <c r="B119" s="286"/>
      <c r="C119" s="286"/>
      <c r="D119" s="286"/>
      <c r="E119" s="286"/>
      <c r="F119" s="286"/>
      <c r="G119" s="286"/>
    </row>
    <row r="120" spans="1:7">
      <c r="A120" s="398"/>
      <c r="B120" s="286"/>
      <c r="C120" s="286"/>
      <c r="D120" s="286"/>
      <c r="E120" s="286"/>
      <c r="F120" s="286"/>
      <c r="G120" s="286"/>
    </row>
    <row r="121" spans="1:7">
      <c r="A121" s="398"/>
      <c r="B121" s="286"/>
      <c r="C121" s="286"/>
      <c r="D121" s="286"/>
      <c r="E121" s="286"/>
      <c r="F121" s="286"/>
      <c r="G121" s="286"/>
    </row>
    <row r="122" spans="1:7">
      <c r="A122" s="399"/>
      <c r="B122" s="288"/>
      <c r="C122" s="288"/>
      <c r="D122" s="288"/>
      <c r="E122" s="288"/>
      <c r="F122" s="288"/>
      <c r="G122" s="288"/>
    </row>
  </sheetData>
  <conditionalFormatting sqref="F1:F122">
    <cfRule type="duplicateValues" dxfId="11" priority="11"/>
    <cfRule type="duplicateValues" dxfId="10" priority="12"/>
  </conditionalFormatting>
  <conditionalFormatting sqref="F1:F122">
    <cfRule type="duplicateValues" dxfId="9" priority="10"/>
  </conditionalFormatting>
  <conditionalFormatting sqref="H51:H62 I52:I63 H2:I50">
    <cfRule type="duplicateValues" dxfId="8" priority="8"/>
    <cfRule type="duplicateValues" dxfId="7" priority="9"/>
  </conditionalFormatting>
  <conditionalFormatting sqref="H51:H62 I52:I63 H2:I50">
    <cfRule type="duplicateValues" dxfId="6" priority="7"/>
  </conditionalFormatting>
  <conditionalFormatting sqref="J2:J64">
    <cfRule type="duplicateValues" dxfId="5" priority="5"/>
    <cfRule type="duplicateValues" dxfId="4" priority="6"/>
  </conditionalFormatting>
  <conditionalFormatting sqref="J2:J64">
    <cfRule type="duplicateValues" dxfId="3" priority="4"/>
  </conditionalFormatting>
  <conditionalFormatting sqref="J50:J51">
    <cfRule type="duplicateValues" dxfId="2" priority="2"/>
    <cfRule type="duplicateValues" dxfId="1" priority="3"/>
  </conditionalFormatting>
  <conditionalFormatting sqref="J50:J51">
    <cfRule type="duplicateValues" dxfId="0" priority="1"/>
  </conditionalFormatting>
  <dataValidations count="1">
    <dataValidation type="list" allowBlank="1" showInputMessage="1" showErrorMessage="1" sqref="D2:D19 D22:D35 D54:D55" xr:uid="{6FB14CDF-00A2-4F86-B2F8-488A1B011070}">
      <formula1>client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Laraib</dc:creator>
  <cp:keywords/>
  <dc:description/>
  <cp:lastModifiedBy/>
  <cp:revision/>
  <dcterms:created xsi:type="dcterms:W3CDTF">2022-01-08T12:09:50Z</dcterms:created>
  <dcterms:modified xsi:type="dcterms:W3CDTF">2024-11-21T13:29:12Z</dcterms:modified>
  <cp:category/>
  <cp:contentStatus/>
</cp:coreProperties>
</file>